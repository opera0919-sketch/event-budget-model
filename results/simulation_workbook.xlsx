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데이터셋요약" sheetId="1" state="visible" r:id="rId1"/>
    <sheet name="케이스비교" sheetId="2" state="visible" r:id="rId2"/>
    <sheet name="목표별최적안" sheetId="3" state="visible" r:id="rId3"/>
    <sheet name="예산집행표" sheetId="4" state="visible" r:id="rId4"/>
    <sheet name="Pareto" sheetId="5" state="visible" r:id="rId5"/>
    <sheet name="Pareto차트(PNG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C6FB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예산 vs 유치 이전금액 (Pareto Frontier)</a:t>
            </a:r>
          </a:p>
        </rich>
      </tx>
    </title>
    <plotArea>
      <scatterChart>
        <ser>
          <idx val="0"/>
          <order val="0"/>
          <tx>
            <strRef>
              <f>'Pareto'!B1</f>
            </strRef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'Pareto'!$A$2:$A$150</f>
            </numRef>
          </xVal>
          <yVal>
            <numRef>
              <f>'Pareto'!$B$2:$B$150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예산(원)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유치 이전금액(원)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144250" cy="7429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1" customWidth="1" min="6" max="6"/>
  </cols>
  <sheetData>
    <row r="1">
      <c r="A1" s="1" t="inlineStr">
        <is>
          <t>회차</t>
        </is>
      </c>
      <c r="B1" s="1" t="inlineStr">
        <is>
          <t>시나리오</t>
        </is>
      </c>
      <c r="C1" s="1" t="inlineStr">
        <is>
          <t>신청자수</t>
        </is>
      </c>
      <c r="D1" s="1" t="inlineStr">
        <is>
          <t>수령자수</t>
        </is>
      </c>
      <c r="E1" s="1" t="inlineStr">
        <is>
          <t>이전금액합</t>
        </is>
      </c>
      <c r="F1" s="1" t="inlineStr">
        <is>
          <t>현행혜택합</t>
        </is>
      </c>
    </row>
    <row r="2">
      <c r="A2" t="n">
        <v>0</v>
      </c>
      <c r="B2" t="inlineStr">
        <is>
          <t>hit</t>
        </is>
      </c>
      <c r="C2" t="n">
        <v>4797</v>
      </c>
      <c r="D2" t="n">
        <v>4284</v>
      </c>
      <c r="E2" t="n">
        <v>209257320000</v>
      </c>
      <c r="F2" t="n">
        <v>657160000</v>
      </c>
    </row>
    <row r="3">
      <c r="A3" t="n">
        <v>1</v>
      </c>
      <c r="B3" t="inlineStr">
        <is>
          <t>hit</t>
        </is>
      </c>
      <c r="C3" t="n">
        <v>4773</v>
      </c>
      <c r="D3" t="n">
        <v>4327</v>
      </c>
      <c r="E3" t="n">
        <v>215502530000</v>
      </c>
      <c r="F3" t="n">
        <v>677920000</v>
      </c>
    </row>
    <row r="4">
      <c r="A4" t="n">
        <v>2</v>
      </c>
      <c r="B4" t="inlineStr">
        <is>
          <t>hit</t>
        </is>
      </c>
      <c r="C4" t="n">
        <v>4783</v>
      </c>
      <c r="D4" t="n">
        <v>4259</v>
      </c>
      <c r="E4" t="n">
        <v>209719250000</v>
      </c>
      <c r="F4" t="n">
        <v>658940000</v>
      </c>
    </row>
    <row r="5">
      <c r="A5" t="n">
        <v>3</v>
      </c>
      <c r="B5" t="inlineStr">
        <is>
          <t>hit</t>
        </is>
      </c>
      <c r="C5" t="n">
        <v>4845</v>
      </c>
      <c r="D5" t="n">
        <v>4357</v>
      </c>
      <c r="E5" t="n">
        <v>218943910000</v>
      </c>
      <c r="F5" t="n">
        <v>688230000</v>
      </c>
    </row>
    <row r="6">
      <c r="A6" t="n">
        <v>4</v>
      </c>
      <c r="B6" t="inlineStr">
        <is>
          <t>hit</t>
        </is>
      </c>
      <c r="C6" t="n">
        <v>4964</v>
      </c>
      <c r="D6" t="n">
        <v>4517</v>
      </c>
      <c r="E6" t="n">
        <v>228199060000</v>
      </c>
      <c r="F6" t="n">
        <v>714600000</v>
      </c>
    </row>
    <row r="7">
      <c r="A7" t="n">
        <v>5</v>
      </c>
      <c r="B7" t="inlineStr">
        <is>
          <t>hit</t>
        </is>
      </c>
      <c r="C7" t="n">
        <v>4779</v>
      </c>
      <c r="D7" t="n">
        <v>4259</v>
      </c>
      <c r="E7" t="n">
        <v>210481550000</v>
      </c>
      <c r="F7" t="n">
        <v>656900000</v>
      </c>
    </row>
    <row r="8">
      <c r="A8" t="n">
        <v>6</v>
      </c>
      <c r="B8" t="inlineStr">
        <is>
          <t>hit</t>
        </is>
      </c>
      <c r="C8" t="n">
        <v>4838</v>
      </c>
      <c r="D8" t="n">
        <v>4297</v>
      </c>
      <c r="E8" t="n">
        <v>218939800000</v>
      </c>
      <c r="F8" t="n">
        <v>690220000</v>
      </c>
    </row>
    <row r="9">
      <c r="A9" t="n">
        <v>7</v>
      </c>
      <c r="B9" t="inlineStr">
        <is>
          <t>hit</t>
        </is>
      </c>
      <c r="C9" t="n">
        <v>4890</v>
      </c>
      <c r="D9" t="n">
        <v>4348</v>
      </c>
      <c r="E9" t="n">
        <v>210495240000</v>
      </c>
      <c r="F9" t="n">
        <v>663520000</v>
      </c>
    </row>
    <row r="10">
      <c r="A10" t="n">
        <v>8</v>
      </c>
      <c r="B10" t="inlineStr">
        <is>
          <t>hit</t>
        </is>
      </c>
      <c r="C10" t="n">
        <v>4829</v>
      </c>
      <c r="D10" t="n">
        <v>4326</v>
      </c>
      <c r="E10" t="n">
        <v>220419330000</v>
      </c>
      <c r="F10" t="n">
        <v>692040000</v>
      </c>
    </row>
    <row r="11">
      <c r="A11" t="n">
        <v>9</v>
      </c>
      <c r="B11" t="inlineStr">
        <is>
          <t>hit</t>
        </is>
      </c>
      <c r="C11" t="n">
        <v>4828</v>
      </c>
      <c r="D11" t="n">
        <v>4369</v>
      </c>
      <c r="E11" t="n">
        <v>220246460000</v>
      </c>
      <c r="F11" t="n">
        <v>693100000</v>
      </c>
    </row>
    <row r="12">
      <c r="A12" t="n">
        <v>10</v>
      </c>
      <c r="B12" t="inlineStr">
        <is>
          <t>hit</t>
        </is>
      </c>
      <c r="C12" t="n">
        <v>4941</v>
      </c>
      <c r="D12" t="n">
        <v>4391</v>
      </c>
      <c r="E12" t="n">
        <v>219256480000</v>
      </c>
      <c r="F12" t="n">
        <v>688610000</v>
      </c>
    </row>
    <row r="13">
      <c r="A13" t="n">
        <v>11</v>
      </c>
      <c r="B13" t="inlineStr">
        <is>
          <t>hit</t>
        </is>
      </c>
      <c r="C13" t="n">
        <v>4863</v>
      </c>
      <c r="D13" t="n">
        <v>4302</v>
      </c>
      <c r="E13" t="n">
        <v>218959600000</v>
      </c>
      <c r="F13" t="n">
        <v>688930000</v>
      </c>
    </row>
    <row r="14">
      <c r="A14" t="n">
        <v>12</v>
      </c>
      <c r="B14" t="inlineStr">
        <is>
          <t>hit</t>
        </is>
      </c>
      <c r="C14" t="n">
        <v>4829</v>
      </c>
      <c r="D14" t="n">
        <v>4360</v>
      </c>
      <c r="E14" t="n">
        <v>216478140000</v>
      </c>
      <c r="F14" t="n">
        <v>680240000</v>
      </c>
    </row>
    <row r="15">
      <c r="A15" t="n">
        <v>13</v>
      </c>
      <c r="B15" t="inlineStr">
        <is>
          <t>hit</t>
        </is>
      </c>
      <c r="C15" t="n">
        <v>4796</v>
      </c>
      <c r="D15" t="n">
        <v>4290</v>
      </c>
      <c r="E15" t="n">
        <v>218109470000</v>
      </c>
      <c r="F15" t="n">
        <v>688800000</v>
      </c>
    </row>
    <row r="16">
      <c r="A16" t="n">
        <v>14</v>
      </c>
      <c r="B16" t="inlineStr">
        <is>
          <t>hit</t>
        </is>
      </c>
      <c r="C16" t="n">
        <v>4781</v>
      </c>
      <c r="D16" t="n">
        <v>4248</v>
      </c>
      <c r="E16" t="n">
        <v>211064080000</v>
      </c>
      <c r="F16" t="n">
        <v>663430000</v>
      </c>
    </row>
    <row r="17">
      <c r="A17" t="n">
        <v>15</v>
      </c>
      <c r="B17" t="inlineStr">
        <is>
          <t>flop</t>
        </is>
      </c>
      <c r="C17" t="n">
        <v>4174</v>
      </c>
      <c r="D17" t="n">
        <v>3737</v>
      </c>
      <c r="E17" t="n">
        <v>183571690000</v>
      </c>
      <c r="F17" t="n">
        <v>575600000</v>
      </c>
    </row>
    <row r="18">
      <c r="A18" t="n">
        <v>16</v>
      </c>
      <c r="B18" t="inlineStr">
        <is>
          <t>flop</t>
        </is>
      </c>
      <c r="C18" t="n">
        <v>4127</v>
      </c>
      <c r="D18" t="n">
        <v>3696</v>
      </c>
      <c r="E18" t="n">
        <v>179259130000</v>
      </c>
      <c r="F18" t="n">
        <v>560840000</v>
      </c>
    </row>
    <row r="19">
      <c r="A19" t="n">
        <v>17</v>
      </c>
      <c r="B19" t="inlineStr">
        <is>
          <t>flop</t>
        </is>
      </c>
      <c r="C19" t="n">
        <v>4067</v>
      </c>
      <c r="D19" t="n">
        <v>3685</v>
      </c>
      <c r="E19" t="n">
        <v>176335250000</v>
      </c>
      <c r="F19" t="n">
        <v>556870000</v>
      </c>
    </row>
    <row r="20">
      <c r="A20" t="n">
        <v>18</v>
      </c>
      <c r="B20" t="inlineStr">
        <is>
          <t>flop</t>
        </is>
      </c>
      <c r="C20" t="n">
        <v>4209</v>
      </c>
      <c r="D20" t="n">
        <v>3727</v>
      </c>
      <c r="E20" t="n">
        <v>182326340000</v>
      </c>
      <c r="F20" t="n">
        <v>573090000</v>
      </c>
    </row>
    <row r="21">
      <c r="A21" t="n">
        <v>19</v>
      </c>
      <c r="B21" t="inlineStr">
        <is>
          <t>flop</t>
        </is>
      </c>
      <c r="C21" t="n">
        <v>4265</v>
      </c>
      <c r="D21" t="n">
        <v>3778</v>
      </c>
      <c r="E21" t="n">
        <v>184728680000</v>
      </c>
      <c r="F21" t="n">
        <v>582460000</v>
      </c>
    </row>
    <row r="22">
      <c r="A22" t="n">
        <v>20</v>
      </c>
      <c r="B22" t="inlineStr">
        <is>
          <t>flop</t>
        </is>
      </c>
      <c r="C22" t="n">
        <v>4006</v>
      </c>
      <c r="D22" t="n">
        <v>3585</v>
      </c>
      <c r="E22" t="n">
        <v>175543020000</v>
      </c>
      <c r="F22" t="n">
        <v>551880000</v>
      </c>
    </row>
    <row r="23">
      <c r="A23" t="n">
        <v>21</v>
      </c>
      <c r="B23" t="inlineStr">
        <is>
          <t>flop</t>
        </is>
      </c>
      <c r="C23" t="n">
        <v>4082</v>
      </c>
      <c r="D23" t="n">
        <v>3686</v>
      </c>
      <c r="E23" t="n">
        <v>183258290000</v>
      </c>
      <c r="F23" t="n">
        <v>572470000</v>
      </c>
    </row>
    <row r="24">
      <c r="A24" t="n">
        <v>22</v>
      </c>
      <c r="B24" t="inlineStr">
        <is>
          <t>flop</t>
        </is>
      </c>
      <c r="C24" t="n">
        <v>4102</v>
      </c>
      <c r="D24" t="n">
        <v>3705</v>
      </c>
      <c r="E24" t="n">
        <v>184363370000</v>
      </c>
      <c r="F24" t="n">
        <v>583000000</v>
      </c>
    </row>
    <row r="25">
      <c r="A25" t="n">
        <v>23</v>
      </c>
      <c r="B25" t="inlineStr">
        <is>
          <t>flop</t>
        </is>
      </c>
      <c r="C25" t="n">
        <v>4100</v>
      </c>
      <c r="D25" t="n">
        <v>3661</v>
      </c>
      <c r="E25" t="n">
        <v>181406970000</v>
      </c>
      <c r="F25" t="n">
        <v>568980000</v>
      </c>
    </row>
    <row r="26">
      <c r="A26" t="n">
        <v>24</v>
      </c>
      <c r="B26" t="inlineStr">
        <is>
          <t>flop</t>
        </is>
      </c>
      <c r="C26" t="n">
        <v>4179</v>
      </c>
      <c r="D26" t="n">
        <v>3756</v>
      </c>
      <c r="E26" t="n">
        <v>189850440000</v>
      </c>
      <c r="F26" t="n">
        <v>599290000</v>
      </c>
    </row>
    <row r="27">
      <c r="A27" t="n">
        <v>25</v>
      </c>
      <c r="B27" t="inlineStr">
        <is>
          <t>flop</t>
        </is>
      </c>
      <c r="C27" t="n">
        <v>4284</v>
      </c>
      <c r="D27" t="n">
        <v>3831</v>
      </c>
      <c r="E27" t="n">
        <v>186461240000</v>
      </c>
      <c r="F27" t="n">
        <v>588930000</v>
      </c>
    </row>
    <row r="28">
      <c r="A28" t="n">
        <v>26</v>
      </c>
      <c r="B28" t="inlineStr">
        <is>
          <t>flop</t>
        </is>
      </c>
      <c r="C28" t="n">
        <v>4112</v>
      </c>
      <c r="D28" t="n">
        <v>3640</v>
      </c>
      <c r="E28" t="n">
        <v>179373930000</v>
      </c>
      <c r="F28" t="n">
        <v>561570000</v>
      </c>
    </row>
    <row r="29">
      <c r="A29" t="n">
        <v>27</v>
      </c>
      <c r="B29" t="inlineStr">
        <is>
          <t>flop</t>
        </is>
      </c>
      <c r="C29" t="n">
        <v>4289</v>
      </c>
      <c r="D29" t="n">
        <v>3851</v>
      </c>
      <c r="E29" t="n">
        <v>186845450000</v>
      </c>
      <c r="F29" t="n">
        <v>584050000</v>
      </c>
    </row>
    <row r="30">
      <c r="A30" t="n">
        <v>28</v>
      </c>
      <c r="B30" t="inlineStr">
        <is>
          <t>flop</t>
        </is>
      </c>
      <c r="C30" t="n">
        <v>4131</v>
      </c>
      <c r="D30" t="n">
        <v>3724</v>
      </c>
      <c r="E30" t="n">
        <v>187230840000</v>
      </c>
      <c r="F30" t="n">
        <v>587100000</v>
      </c>
    </row>
    <row r="31">
      <c r="A31" t="n">
        <v>29</v>
      </c>
      <c r="B31" t="inlineStr">
        <is>
          <t>flop</t>
        </is>
      </c>
      <c r="C31" t="n">
        <v>4007</v>
      </c>
      <c r="D31" t="n">
        <v>3548</v>
      </c>
      <c r="E31" t="n">
        <v>174427270000</v>
      </c>
      <c r="F31" t="n">
        <v>548820000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4" customWidth="1" min="4" max="4"/>
    <col width="13" customWidth="1" min="5" max="5"/>
    <col width="12" customWidth="1" min="6" max="6"/>
    <col width="12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0" customWidth="1" min="17" max="17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CPA</t>
        </is>
      </c>
      <c r="O1" s="1" t="inlineStr">
        <is>
          <t>평균이전금액</t>
        </is>
      </c>
      <c r="P1" s="1" t="inlineStr">
        <is>
          <t>수령자당평균리워드</t>
        </is>
      </c>
      <c r="Q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198167</v>
      </c>
      <c r="O2" t="n">
        <v>44412669</v>
      </c>
      <c r="P2" t="n">
        <v>155940</v>
      </c>
      <c r="Q2" t="n">
        <v>1</v>
      </c>
    </row>
    <row r="3">
      <c r="A3" t="inlineStr">
        <is>
          <t>배수제거</t>
        </is>
      </c>
      <c r="B3" t="n">
        <v>431763026</v>
      </c>
      <c r="C3" t="n">
        <v>39683810</v>
      </c>
      <c r="D3" t="n">
        <v>500013246</v>
      </c>
      <c r="E3" t="n">
        <v>377132088</v>
      </c>
      <c r="F3" t="n">
        <v>469792458</v>
      </c>
      <c r="G3" t="n">
        <v>393733593</v>
      </c>
      <c r="H3" t="n">
        <v>160289647595</v>
      </c>
      <c r="I3" t="n">
        <v>346365986</v>
      </c>
      <c r="J3" t="n">
        <v>3787</v>
      </c>
      <c r="K3" t="n">
        <v>3316</v>
      </c>
      <c r="L3" t="n">
        <v>0.2694</v>
      </c>
      <c r="M3" t="n">
        <v>371.24</v>
      </c>
      <c r="N3" t="n">
        <v>130189</v>
      </c>
      <c r="O3" t="n">
        <v>42322939</v>
      </c>
      <c r="P3" t="n">
        <v>104439</v>
      </c>
      <c r="Q3" t="n">
        <v>0.8038999999999999</v>
      </c>
    </row>
    <row r="4">
      <c r="A4" t="inlineStr">
        <is>
          <t>배수2.0배(단위정합)</t>
        </is>
      </c>
      <c r="B4" t="n">
        <v>1131103073</v>
      </c>
      <c r="C4" t="n">
        <v>103111845</v>
      </c>
      <c r="D4" t="n">
        <v>1308397921</v>
      </c>
      <c r="E4" t="n">
        <v>989846560</v>
      </c>
      <c r="F4" t="n">
        <v>1230191374</v>
      </c>
      <c r="G4" t="n">
        <v>1032014773</v>
      </c>
      <c r="H4" t="n">
        <v>206387814260</v>
      </c>
      <c r="I4" t="n">
        <v>886436105</v>
      </c>
      <c r="J4" t="n">
        <v>4619</v>
      </c>
      <c r="K4" t="n">
        <v>4148</v>
      </c>
      <c r="L4" t="n">
        <v>0.548</v>
      </c>
      <c r="M4" t="n">
        <v>182.47</v>
      </c>
      <c r="N4" t="n">
        <v>272657</v>
      </c>
      <c r="O4" t="n">
        <v>44679335</v>
      </c>
      <c r="P4" t="n">
        <v>213679</v>
      </c>
      <c r="Q4" t="n">
        <v>1.0352</v>
      </c>
    </row>
    <row r="5">
      <c r="A5" t="inlineStr">
        <is>
          <t>균등하향80%</t>
        </is>
      </c>
      <c r="B5" t="n">
        <v>595301294</v>
      </c>
      <c r="C5" t="n">
        <v>53171953</v>
      </c>
      <c r="D5" t="n">
        <v>679431026</v>
      </c>
      <c r="E5" t="n">
        <v>521441493</v>
      </c>
      <c r="F5" t="n">
        <v>646429972</v>
      </c>
      <c r="G5" t="n">
        <v>544172616</v>
      </c>
      <c r="H5" t="n">
        <v>185872661543</v>
      </c>
      <c r="I5" t="n">
        <v>468359808</v>
      </c>
      <c r="J5" t="n">
        <v>4224</v>
      </c>
      <c r="K5" t="n">
        <v>3753</v>
      </c>
      <c r="L5" t="n">
        <v>0.3203</v>
      </c>
      <c r="M5" t="n">
        <v>312.23</v>
      </c>
      <c r="N5" t="n">
        <v>158634</v>
      </c>
      <c r="O5" t="n">
        <v>44008688</v>
      </c>
      <c r="P5" t="n">
        <v>124807</v>
      </c>
      <c r="Q5" t="n">
        <v>0.9323</v>
      </c>
    </row>
    <row r="6">
      <c r="A6" t="inlineStr">
        <is>
          <t>균등하향70%</t>
        </is>
      </c>
      <c r="B6" t="n">
        <v>461333534</v>
      </c>
      <c r="C6" t="n">
        <v>41446650</v>
      </c>
      <c r="D6" t="n">
        <v>526548174</v>
      </c>
      <c r="E6" t="n">
        <v>403585076</v>
      </c>
      <c r="F6" t="n">
        <v>501070380</v>
      </c>
      <c r="G6" t="n">
        <v>421596689</v>
      </c>
      <c r="H6" t="n">
        <v>171094499317</v>
      </c>
      <c r="I6" t="n">
        <v>369286520</v>
      </c>
      <c r="J6" t="n">
        <v>3888</v>
      </c>
      <c r="K6" t="n">
        <v>3417</v>
      </c>
      <c r="L6" t="n">
        <v>0.2696</v>
      </c>
      <c r="M6" t="n">
        <v>370.87</v>
      </c>
      <c r="N6" t="n">
        <v>135017</v>
      </c>
      <c r="O6" t="n">
        <v>44008931</v>
      </c>
      <c r="P6" t="n">
        <v>108078</v>
      </c>
      <c r="Q6" t="n">
        <v>0.8582</v>
      </c>
    </row>
    <row r="7">
      <c r="A7" t="inlineStr">
        <is>
          <t>상위축소</t>
        </is>
      </c>
      <c r="B7" t="n">
        <v>505840544</v>
      </c>
      <c r="C7" t="n">
        <v>44867349</v>
      </c>
      <c r="D7" t="n">
        <v>576585652</v>
      </c>
      <c r="E7" t="n">
        <v>441908399</v>
      </c>
      <c r="F7" t="n">
        <v>549204331</v>
      </c>
      <c r="G7" t="n">
        <v>462476757</v>
      </c>
      <c r="H7" t="n">
        <v>175545921857</v>
      </c>
      <c r="I7" t="n">
        <v>400056504</v>
      </c>
      <c r="J7" t="n">
        <v>4128</v>
      </c>
      <c r="K7" t="n">
        <v>3657</v>
      </c>
      <c r="L7" t="n">
        <v>0.2882</v>
      </c>
      <c r="M7" t="n">
        <v>347.04</v>
      </c>
      <c r="N7" t="n">
        <v>138305</v>
      </c>
      <c r="O7" t="n">
        <v>42522651</v>
      </c>
      <c r="P7" t="n">
        <v>109382</v>
      </c>
      <c r="Q7" t="n">
        <v>0.8804999999999999</v>
      </c>
    </row>
    <row r="8">
      <c r="A8" t="inlineStr">
        <is>
          <t>하위강화·배수제거</t>
        </is>
      </c>
      <c r="B8" t="n">
        <v>484540941</v>
      </c>
      <c r="C8" t="n">
        <v>41914323</v>
      </c>
      <c r="D8" t="n">
        <v>555919750</v>
      </c>
      <c r="E8" t="n">
        <v>426238244</v>
      </c>
      <c r="F8" t="n">
        <v>525155495</v>
      </c>
      <c r="G8" t="n">
        <v>443926387</v>
      </c>
      <c r="H8" t="n">
        <v>164507373239</v>
      </c>
      <c r="I8" t="n">
        <v>379394579</v>
      </c>
      <c r="J8" t="n">
        <v>3991</v>
      </c>
      <c r="K8" t="n">
        <v>3520</v>
      </c>
      <c r="L8" t="n">
        <v>0.2945</v>
      </c>
      <c r="M8" t="n">
        <v>339.51</v>
      </c>
      <c r="N8" t="n">
        <v>137659</v>
      </c>
      <c r="O8" t="n">
        <v>41222388</v>
      </c>
      <c r="P8" t="n">
        <v>107787</v>
      </c>
      <c r="Q8" t="n">
        <v>0.8252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4" customWidth="1" min="4" max="4"/>
    <col width="13" customWidth="1" min="5" max="5"/>
    <col width="11" customWidth="1" min="6" max="6"/>
    <col width="11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0" customWidth="1" min="17" max="17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CPA</t>
        </is>
      </c>
      <c r="O1" s="1" t="inlineStr">
        <is>
          <t>평균이전금액</t>
        </is>
      </c>
      <c r="P1" s="1" t="inlineStr">
        <is>
          <t>수령자당평균리워드</t>
        </is>
      </c>
      <c r="Q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198167</v>
      </c>
      <c r="O2" t="n">
        <v>44412669</v>
      </c>
      <c r="P2" t="n">
        <v>155940</v>
      </c>
      <c r="Q2" t="n">
        <v>1</v>
      </c>
    </row>
    <row r="3">
      <c r="A3" t="inlineStr">
        <is>
          <t>A_예산최소</t>
        </is>
      </c>
      <c r="B3" t="n">
        <v>658637696</v>
      </c>
      <c r="C3" t="n">
        <v>57279206</v>
      </c>
      <c r="D3" t="n">
        <v>750776902</v>
      </c>
      <c r="E3" t="n">
        <v>580264441</v>
      </c>
      <c r="F3" t="n">
        <v>713724255</v>
      </c>
      <c r="G3" t="n">
        <v>603551137</v>
      </c>
      <c r="H3" t="n">
        <v>190012625854</v>
      </c>
      <c r="I3" t="n">
        <v>517762202</v>
      </c>
      <c r="J3" t="n">
        <v>4347</v>
      </c>
      <c r="K3" t="n">
        <v>3876</v>
      </c>
      <c r="L3" t="n">
        <v>0.3466</v>
      </c>
      <c r="M3" t="n">
        <v>288.49</v>
      </c>
      <c r="N3" t="n">
        <v>169910</v>
      </c>
      <c r="O3" t="n">
        <v>43708554</v>
      </c>
      <c r="P3" t="n">
        <v>133568</v>
      </c>
      <c r="Q3" t="n">
        <v>0.9530999999999999</v>
      </c>
    </row>
    <row r="4">
      <c r="A4" t="inlineStr">
        <is>
          <t>B_효율최대</t>
        </is>
      </c>
      <c r="B4" t="n">
        <v>658637696</v>
      </c>
      <c r="C4" t="n">
        <v>57279206</v>
      </c>
      <c r="D4" t="n">
        <v>750776902</v>
      </c>
      <c r="E4" t="n">
        <v>580264441</v>
      </c>
      <c r="F4" t="n">
        <v>713724255</v>
      </c>
      <c r="G4" t="n">
        <v>603551137</v>
      </c>
      <c r="H4" t="n">
        <v>190012625854</v>
      </c>
      <c r="I4" t="n">
        <v>517762202</v>
      </c>
      <c r="J4" t="n">
        <v>4347</v>
      </c>
      <c r="K4" t="n">
        <v>3876</v>
      </c>
      <c r="L4" t="n">
        <v>0.3466</v>
      </c>
      <c r="M4" t="n">
        <v>288.49</v>
      </c>
      <c r="N4" t="n">
        <v>169910</v>
      </c>
      <c r="O4" t="n">
        <v>43708554</v>
      </c>
      <c r="P4" t="n">
        <v>133568</v>
      </c>
      <c r="Q4" t="n">
        <v>0.9530999999999999</v>
      </c>
    </row>
    <row r="5">
      <c r="A5" t="inlineStr">
        <is>
          <t>C_목표예산</t>
        </is>
      </c>
      <c r="B5" t="n">
        <v>658637696</v>
      </c>
      <c r="C5" t="n">
        <v>57279206</v>
      </c>
      <c r="D5" t="n">
        <v>750776902</v>
      </c>
      <c r="E5" t="n">
        <v>580264441</v>
      </c>
      <c r="F5" t="n">
        <v>713724255</v>
      </c>
      <c r="G5" t="n">
        <v>603551137</v>
      </c>
      <c r="H5" t="n">
        <v>190012625854</v>
      </c>
      <c r="I5" t="n">
        <v>517762202</v>
      </c>
      <c r="J5" t="n">
        <v>4347</v>
      </c>
      <c r="K5" t="n">
        <v>3876</v>
      </c>
      <c r="L5" t="n">
        <v>0.3466</v>
      </c>
      <c r="M5" t="n">
        <v>288.49</v>
      </c>
      <c r="N5" t="n">
        <v>169910</v>
      </c>
      <c r="O5" t="n">
        <v>43708554</v>
      </c>
      <c r="P5" t="n">
        <v>133568</v>
      </c>
      <c r="Q5" t="n">
        <v>0.9530999999999999</v>
      </c>
    </row>
    <row r="7">
      <c r="A7" t="inlineStr">
        <is>
          <t>구조</t>
        </is>
      </c>
      <c r="B7" t="inlineStr">
        <is>
          <t>배수</t>
        </is>
      </c>
      <c r="C7" t="inlineStr">
        <is>
          <t>리워드벡터(인정금액 티어 순)</t>
        </is>
      </c>
    </row>
    <row r="8">
      <c r="A8" t="inlineStr">
        <is>
          <t>현행</t>
        </is>
      </c>
      <c r="B8" t="n">
        <v>1.5</v>
      </c>
      <c r="C8" t="inlineStr">
        <is>
          <t>20000 / 40000 / 60000 / 150000 / 300000 / 600000 / 1000000</t>
        </is>
      </c>
    </row>
    <row r="9">
      <c r="A9" t="inlineStr">
        <is>
          <t>A_예산최소</t>
        </is>
      </c>
      <c r="B9" t="n">
        <v>1.5</v>
      </c>
      <c r="C9" t="inlineStr">
        <is>
          <t>20000 / 30000 / 60000 / 150000 / 230000 / 450000 / 750000</t>
        </is>
      </c>
    </row>
    <row r="10">
      <c r="A10" t="inlineStr">
        <is>
          <t>B_효율최대</t>
        </is>
      </c>
      <c r="B10" t="n">
        <v>1.5</v>
      </c>
      <c r="C10" t="inlineStr">
        <is>
          <t>20000 / 30000 / 60000 / 150000 / 230000 / 450000 / 750000</t>
        </is>
      </c>
    </row>
    <row r="11">
      <c r="A11" t="inlineStr">
        <is>
          <t>C_목표예산</t>
        </is>
      </c>
      <c r="B11" t="n">
        <v>1.5</v>
      </c>
      <c r="C11" t="inlineStr">
        <is>
          <t>20000 / 30000 / 60000 / 150000 / 230000 / 450000 / 750000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cols>
    <col width="28" customWidth="1" min="1" max="1"/>
    <col width="17" customWidth="1" min="2" max="2"/>
    <col width="10" customWidth="1" min="3" max="3"/>
    <col width="12" customWidth="1" min="4" max="4"/>
    <col width="17" customWidth="1" min="5" max="5"/>
    <col width="10" customWidth="1" min="6" max="6"/>
  </cols>
  <sheetData>
    <row r="1">
      <c r="A1" s="2" t="inlineStr">
        <is>
          <t>[안1_매력도우선]</t>
        </is>
      </c>
    </row>
    <row r="2">
      <c r="A2" s="2" t="inlineStr">
        <is>
          <t>시나리오: 전체(평균) (회차 30)</t>
        </is>
      </c>
    </row>
    <row r="3">
      <c r="A3" s="1" t="inlineStr">
        <is>
          <t>순입금 구간</t>
        </is>
      </c>
      <c r="B3" s="1" t="inlineStr">
        <is>
          <t>인원(회차평균)</t>
        </is>
      </c>
      <c r="C3" s="1" t="inlineStr">
        <is>
          <t>리워드</t>
        </is>
      </c>
      <c r="D3" s="1" t="inlineStr">
        <is>
          <t>1인예산(제세포함)</t>
        </is>
      </c>
      <c r="E3" s="1" t="inlineStr">
        <is>
          <t>소요예산</t>
        </is>
      </c>
      <c r="F3" s="1" t="inlineStr">
        <is>
          <t>예산비중</t>
        </is>
      </c>
    </row>
    <row r="4">
      <c r="A4" t="inlineStr">
        <is>
          <t>5,000,000~10,000,000원</t>
        </is>
      </c>
      <c r="B4" t="n">
        <v>212.7</v>
      </c>
      <c r="C4" t="n">
        <v>20000</v>
      </c>
      <c r="D4" t="n">
        <v>20000</v>
      </c>
      <c r="E4" t="n">
        <v>4254667</v>
      </c>
      <c r="F4" s="3" t="n">
        <v>0.0057</v>
      </c>
    </row>
    <row r="5">
      <c r="A5" t="inlineStr">
        <is>
          <t>10,000,000~15,000,000원</t>
        </is>
      </c>
      <c r="B5" t="n">
        <v>361.1</v>
      </c>
      <c r="C5" t="n">
        <v>40000</v>
      </c>
      <c r="D5" t="n">
        <v>40000</v>
      </c>
      <c r="E5" t="n">
        <v>14445333</v>
      </c>
      <c r="F5" s="3" t="n">
        <v>0.0192</v>
      </c>
    </row>
    <row r="6">
      <c r="A6" t="inlineStr">
        <is>
          <t>15,000,000~30,000,000원</t>
        </is>
      </c>
      <c r="B6" t="n">
        <v>743.3</v>
      </c>
      <c r="C6" t="n">
        <v>60000</v>
      </c>
      <c r="D6" t="n">
        <v>76923</v>
      </c>
      <c r="E6" t="n">
        <v>57174359</v>
      </c>
      <c r="F6" s="3" t="n">
        <v>0.076</v>
      </c>
    </row>
    <row r="7">
      <c r="A7" t="inlineStr">
        <is>
          <t>30,000,000~50,000,000원</t>
        </is>
      </c>
      <c r="B7" t="n">
        <v>984.1</v>
      </c>
      <c r="C7" t="n">
        <v>130000</v>
      </c>
      <c r="D7" t="n">
        <v>166667</v>
      </c>
      <c r="E7" t="n">
        <v>164011111</v>
      </c>
      <c r="F7" s="3" t="n">
        <v>0.2181</v>
      </c>
    </row>
    <row r="8">
      <c r="A8" t="inlineStr">
        <is>
          <t>50,000,000~66,000,000원</t>
        </is>
      </c>
      <c r="B8" t="n">
        <v>667.9</v>
      </c>
      <c r="C8" t="n">
        <v>140000</v>
      </c>
      <c r="D8" t="n">
        <v>179487</v>
      </c>
      <c r="E8" t="n">
        <v>119885470</v>
      </c>
      <c r="F8" s="3" t="n">
        <v>0.1594</v>
      </c>
    </row>
    <row r="9">
      <c r="A9" t="inlineStr">
        <is>
          <t>66,000,000~90,000,000원</t>
        </is>
      </c>
      <c r="B9" t="n">
        <v>557.4</v>
      </c>
      <c r="C9" t="n">
        <v>260000</v>
      </c>
      <c r="D9" t="n">
        <v>333333</v>
      </c>
      <c r="E9" t="n">
        <v>185788889</v>
      </c>
      <c r="F9" s="3" t="n">
        <v>0.247</v>
      </c>
    </row>
    <row r="10">
      <c r="A10" t="inlineStr">
        <is>
          <t>90,000,000~130,000,000원</t>
        </is>
      </c>
      <c r="B10" t="n">
        <v>397.2</v>
      </c>
      <c r="C10" t="n">
        <v>270000</v>
      </c>
      <c r="D10" t="n">
        <v>346154</v>
      </c>
      <c r="E10" t="n">
        <v>137492308</v>
      </c>
      <c r="F10" s="3" t="n">
        <v>0.1828</v>
      </c>
    </row>
    <row r="11">
      <c r="A11" t="inlineStr">
        <is>
          <t>130,000,000~170,000,000원</t>
        </is>
      </c>
      <c r="B11" t="n">
        <v>77.7</v>
      </c>
      <c r="C11" t="n">
        <v>510000</v>
      </c>
      <c r="D11" t="n">
        <v>653846</v>
      </c>
      <c r="E11" t="n">
        <v>50825641</v>
      </c>
      <c r="F11" s="3" t="n">
        <v>0.06759999999999999</v>
      </c>
    </row>
    <row r="12">
      <c r="A12" t="inlineStr">
        <is>
          <t>170,000,000원 이상</t>
        </is>
      </c>
      <c r="B12" t="n">
        <v>16.7</v>
      </c>
      <c r="C12" t="n">
        <v>850000</v>
      </c>
      <c r="D12" t="n">
        <v>1089744</v>
      </c>
      <c r="E12" t="n">
        <v>18198718</v>
      </c>
      <c r="F12" s="3" t="n">
        <v>0.0242</v>
      </c>
    </row>
    <row r="13">
      <c r="A13" s="2" t="inlineStr">
        <is>
          <t>합계</t>
        </is>
      </c>
      <c r="B13" s="2">
        <f>SUM(B4:B12)</f>
        <v/>
      </c>
      <c r="E13" s="2">
        <f>SUM(E4:E12)</f>
        <v/>
      </c>
    </row>
    <row r="14"/>
    <row r="15">
      <c r="A15" s="2" t="inlineStr">
        <is>
          <t>시나리오: 흥행 (회차 15)</t>
        </is>
      </c>
    </row>
    <row r="16">
      <c r="A16" s="1" t="inlineStr">
        <is>
          <t>순입금 구간</t>
        </is>
      </c>
      <c r="B16" s="1" t="inlineStr">
        <is>
          <t>인원(회차평균)</t>
        </is>
      </c>
      <c r="C16" s="1" t="inlineStr">
        <is>
          <t>리워드</t>
        </is>
      </c>
      <c r="D16" s="1" t="inlineStr">
        <is>
          <t>1인예산(제세포함)</t>
        </is>
      </c>
      <c r="E16" s="1" t="inlineStr">
        <is>
          <t>소요예산</t>
        </is>
      </c>
      <c r="F16" s="1" t="inlineStr">
        <is>
          <t>예산비중</t>
        </is>
      </c>
    </row>
    <row r="17">
      <c r="A17" t="inlineStr">
        <is>
          <t>5,000,000~10,000,000원</t>
        </is>
      </c>
      <c r="B17" t="n">
        <v>228.4</v>
      </c>
      <c r="C17" t="n">
        <v>20000</v>
      </c>
      <c r="D17" t="n">
        <v>20000</v>
      </c>
      <c r="E17" t="n">
        <v>4568000</v>
      </c>
      <c r="F17" s="3" t="n">
        <v>0.0056</v>
      </c>
    </row>
    <row r="18">
      <c r="A18" t="inlineStr">
        <is>
          <t>10,000,000~15,000,000원</t>
        </is>
      </c>
      <c r="B18" t="n">
        <v>384</v>
      </c>
      <c r="C18" t="n">
        <v>40000</v>
      </c>
      <c r="D18" t="n">
        <v>40000</v>
      </c>
      <c r="E18" t="n">
        <v>15360000</v>
      </c>
      <c r="F18" s="3" t="n">
        <v>0.0188</v>
      </c>
    </row>
    <row r="19">
      <c r="A19" t="inlineStr">
        <is>
          <t>15,000,000~30,000,000원</t>
        </is>
      </c>
      <c r="B19" t="n">
        <v>796.2</v>
      </c>
      <c r="C19" t="n">
        <v>60000</v>
      </c>
      <c r="D19" t="n">
        <v>76923</v>
      </c>
      <c r="E19" t="n">
        <v>61246154</v>
      </c>
      <c r="F19" s="3" t="n">
        <v>0.075</v>
      </c>
    </row>
    <row r="20">
      <c r="A20" t="inlineStr">
        <is>
          <t>30,000,000~50,000,000원</t>
        </is>
      </c>
      <c r="B20" t="n">
        <v>1049.2</v>
      </c>
      <c r="C20" t="n">
        <v>130000</v>
      </c>
      <c r="D20" t="n">
        <v>166667</v>
      </c>
      <c r="E20" t="n">
        <v>174866667</v>
      </c>
      <c r="F20" s="3" t="n">
        <v>0.2141</v>
      </c>
    </row>
    <row r="21">
      <c r="A21" t="inlineStr">
        <is>
          <t>50,000,000~66,000,000원</t>
        </is>
      </c>
      <c r="B21" t="n">
        <v>722.3</v>
      </c>
      <c r="C21" t="n">
        <v>140000</v>
      </c>
      <c r="D21" t="n">
        <v>179487</v>
      </c>
      <c r="E21" t="n">
        <v>129637607</v>
      </c>
      <c r="F21" s="3" t="n">
        <v>0.1587</v>
      </c>
    </row>
    <row r="22">
      <c r="A22" t="inlineStr">
        <is>
          <t>66,000,000~90,000,000원</t>
        </is>
      </c>
      <c r="B22" t="n">
        <v>606.6</v>
      </c>
      <c r="C22" t="n">
        <v>260000</v>
      </c>
      <c r="D22" t="n">
        <v>333333</v>
      </c>
      <c r="E22" t="n">
        <v>202200000</v>
      </c>
      <c r="F22" s="3" t="n">
        <v>0.2476</v>
      </c>
    </row>
    <row r="23">
      <c r="A23" t="inlineStr">
        <is>
          <t>90,000,000~130,000,000원</t>
        </is>
      </c>
      <c r="B23" t="n">
        <v>435.4</v>
      </c>
      <c r="C23" t="n">
        <v>270000</v>
      </c>
      <c r="D23" t="n">
        <v>346154</v>
      </c>
      <c r="E23" t="n">
        <v>150715385</v>
      </c>
      <c r="F23" s="3" t="n">
        <v>0.1845</v>
      </c>
    </row>
    <row r="24">
      <c r="A24" t="inlineStr">
        <is>
          <t>130,000,000~170,000,000원</t>
        </is>
      </c>
      <c r="B24" t="n">
        <v>87.90000000000001</v>
      </c>
      <c r="C24" t="n">
        <v>510000</v>
      </c>
      <c r="D24" t="n">
        <v>653846</v>
      </c>
      <c r="E24" t="n">
        <v>57451282</v>
      </c>
      <c r="F24" s="3" t="n">
        <v>0.0703</v>
      </c>
    </row>
    <row r="25">
      <c r="A25" t="inlineStr">
        <is>
          <t>170,000,000원 이상</t>
        </is>
      </c>
      <c r="B25" t="n">
        <v>19</v>
      </c>
      <c r="C25" t="n">
        <v>850000</v>
      </c>
      <c r="D25" t="n">
        <v>1089744</v>
      </c>
      <c r="E25" t="n">
        <v>20705128</v>
      </c>
      <c r="F25" s="3" t="n">
        <v>0.0254</v>
      </c>
    </row>
    <row r="26">
      <c r="A26" s="2" t="inlineStr">
        <is>
          <t>합계</t>
        </is>
      </c>
      <c r="B26" s="2">
        <f>SUM(B17:B25)</f>
        <v/>
      </c>
      <c r="E26" s="2">
        <f>SUM(E17:E25)</f>
        <v/>
      </c>
    </row>
    <row r="27"/>
    <row r="28">
      <c r="A28" s="2" t="inlineStr">
        <is>
          <t>시나리오: 비흥행 (회차 15)</t>
        </is>
      </c>
    </row>
    <row r="29">
      <c r="A29" s="1" t="inlineStr">
        <is>
          <t>순입금 구간</t>
        </is>
      </c>
      <c r="B29" s="1" t="inlineStr">
        <is>
          <t>인원(회차평균)</t>
        </is>
      </c>
      <c r="C29" s="1" t="inlineStr">
        <is>
          <t>리워드</t>
        </is>
      </c>
      <c r="D29" s="1" t="inlineStr">
        <is>
          <t>1인예산(제세포함)</t>
        </is>
      </c>
      <c r="E29" s="1" t="inlineStr">
        <is>
          <t>소요예산</t>
        </is>
      </c>
      <c r="F29" s="1" t="inlineStr">
        <is>
          <t>예산비중</t>
        </is>
      </c>
    </row>
    <row r="30">
      <c r="A30" t="inlineStr">
        <is>
          <t>5,000,000~10,000,000원</t>
        </is>
      </c>
      <c r="B30" t="n">
        <v>197.1</v>
      </c>
      <c r="C30" t="n">
        <v>20000</v>
      </c>
      <c r="D30" t="n">
        <v>20000</v>
      </c>
      <c r="E30" t="n">
        <v>3941333</v>
      </c>
      <c r="F30" s="3" t="n">
        <v>0.0057</v>
      </c>
    </row>
    <row r="31">
      <c r="A31" t="inlineStr">
        <is>
          <t>10,000,000~15,000,000원</t>
        </is>
      </c>
      <c r="B31" t="n">
        <v>338.3</v>
      </c>
      <c r="C31" t="n">
        <v>40000</v>
      </c>
      <c r="D31" t="n">
        <v>40000</v>
      </c>
      <c r="E31" t="n">
        <v>13530667</v>
      </c>
      <c r="F31" s="3" t="n">
        <v>0.0197</v>
      </c>
    </row>
    <row r="32">
      <c r="A32" t="inlineStr">
        <is>
          <t>15,000,000~30,000,000원</t>
        </is>
      </c>
      <c r="B32" t="n">
        <v>690.3</v>
      </c>
      <c r="C32" t="n">
        <v>60000</v>
      </c>
      <c r="D32" t="n">
        <v>76923</v>
      </c>
      <c r="E32" t="n">
        <v>53102564</v>
      </c>
      <c r="F32" s="3" t="n">
        <v>0.07729999999999999</v>
      </c>
    </row>
    <row r="33">
      <c r="A33" t="inlineStr">
        <is>
          <t>30,000,000~50,000,000원</t>
        </is>
      </c>
      <c r="B33" t="n">
        <v>918.9</v>
      </c>
      <c r="C33" t="n">
        <v>130000</v>
      </c>
      <c r="D33" t="n">
        <v>166667</v>
      </c>
      <c r="E33" t="n">
        <v>153155556</v>
      </c>
      <c r="F33" s="3" t="n">
        <v>0.2228</v>
      </c>
    </row>
    <row r="34">
      <c r="A34" t="inlineStr">
        <is>
          <t>50,000,000~66,000,000원</t>
        </is>
      </c>
      <c r="B34" t="n">
        <v>613.6</v>
      </c>
      <c r="C34" t="n">
        <v>140000</v>
      </c>
      <c r="D34" t="n">
        <v>179487</v>
      </c>
      <c r="E34" t="n">
        <v>110133333</v>
      </c>
      <c r="F34" s="3" t="n">
        <v>0.1602</v>
      </c>
    </row>
    <row r="35">
      <c r="A35" t="inlineStr">
        <is>
          <t>66,000,000~90,000,000원</t>
        </is>
      </c>
      <c r="B35" t="n">
        <v>508.1</v>
      </c>
      <c r="C35" t="n">
        <v>260000</v>
      </c>
      <c r="D35" t="n">
        <v>333333</v>
      </c>
      <c r="E35" t="n">
        <v>169377778</v>
      </c>
      <c r="F35" s="3" t="n">
        <v>0.2464</v>
      </c>
    </row>
    <row r="36">
      <c r="A36" t="inlineStr">
        <is>
          <t>90,000,000~130,000,000원</t>
        </is>
      </c>
      <c r="B36" t="n">
        <v>359</v>
      </c>
      <c r="C36" t="n">
        <v>270000</v>
      </c>
      <c r="D36" t="n">
        <v>346154</v>
      </c>
      <c r="E36" t="n">
        <v>124269231</v>
      </c>
      <c r="F36" s="3" t="n">
        <v>0.1808</v>
      </c>
    </row>
    <row r="37">
      <c r="A37" t="inlineStr">
        <is>
          <t>130,000,000~170,000,000원</t>
        </is>
      </c>
      <c r="B37" t="n">
        <v>67.59999999999999</v>
      </c>
      <c r="C37" t="n">
        <v>510000</v>
      </c>
      <c r="D37" t="n">
        <v>653846</v>
      </c>
      <c r="E37" t="n">
        <v>44200000</v>
      </c>
      <c r="F37" s="3" t="n">
        <v>0.0643</v>
      </c>
    </row>
    <row r="38">
      <c r="A38" t="inlineStr">
        <is>
          <t>170,000,000원 이상</t>
        </is>
      </c>
      <c r="B38" t="n">
        <v>14.4</v>
      </c>
      <c r="C38" t="n">
        <v>850000</v>
      </c>
      <c r="D38" t="n">
        <v>1089744</v>
      </c>
      <c r="E38" t="n">
        <v>15692308</v>
      </c>
      <c r="F38" s="3" t="n">
        <v>0.0228</v>
      </c>
    </row>
    <row r="39">
      <c r="A39" s="2" t="inlineStr">
        <is>
          <t>합계</t>
        </is>
      </c>
      <c r="B39" s="2">
        <f>SUM(B30:B38)</f>
        <v/>
      </c>
      <c r="E39" s="2">
        <f>SUM(E30:E38)</f>
        <v/>
      </c>
    </row>
    <row r="40"/>
    <row r="41"/>
    <row r="42">
      <c r="A42" s="2" t="inlineStr">
        <is>
          <t>[안2_균형]</t>
        </is>
      </c>
    </row>
    <row r="43">
      <c r="A43" s="2" t="inlineStr">
        <is>
          <t>시나리오: 전체(평균) (회차 30)</t>
        </is>
      </c>
    </row>
    <row r="44">
      <c r="A44" s="1" t="inlineStr">
        <is>
          <t>순입금 구간</t>
        </is>
      </c>
      <c r="B44" s="1" t="inlineStr">
        <is>
          <t>인원(회차평균)</t>
        </is>
      </c>
      <c r="C44" s="1" t="inlineStr">
        <is>
          <t>리워드</t>
        </is>
      </c>
      <c r="D44" s="1" t="inlineStr">
        <is>
          <t>1인예산(제세포함)</t>
        </is>
      </c>
      <c r="E44" s="1" t="inlineStr">
        <is>
          <t>소요예산</t>
        </is>
      </c>
      <c r="F44" s="1" t="inlineStr">
        <is>
          <t>예산비중</t>
        </is>
      </c>
    </row>
    <row r="45">
      <c r="A45" t="inlineStr">
        <is>
          <t>5,000,000~10,000,000원</t>
        </is>
      </c>
      <c r="B45" t="n">
        <v>212.7</v>
      </c>
      <c r="C45" t="n">
        <v>20000</v>
      </c>
      <c r="D45" t="n">
        <v>20000</v>
      </c>
      <c r="E45" t="n">
        <v>4254667</v>
      </c>
      <c r="F45" s="3" t="n">
        <v>0.0061</v>
      </c>
    </row>
    <row r="46">
      <c r="A46" t="inlineStr">
        <is>
          <t>10,000,000~15,000,000원</t>
        </is>
      </c>
      <c r="B46" t="n">
        <v>361.1</v>
      </c>
      <c r="C46" t="n">
        <v>40000</v>
      </c>
      <c r="D46" t="n">
        <v>40000</v>
      </c>
      <c r="E46" t="n">
        <v>14445333</v>
      </c>
      <c r="F46" s="3" t="n">
        <v>0.0206</v>
      </c>
    </row>
    <row r="47">
      <c r="A47" t="inlineStr">
        <is>
          <t>15,000,000~30,000,000원</t>
        </is>
      </c>
      <c r="B47" t="n">
        <v>743.3</v>
      </c>
      <c r="C47" t="n">
        <v>60000</v>
      </c>
      <c r="D47" t="n">
        <v>76923</v>
      </c>
      <c r="E47" t="n">
        <v>57174359</v>
      </c>
      <c r="F47" s="3" t="n">
        <v>0.0814</v>
      </c>
    </row>
    <row r="48">
      <c r="A48" t="inlineStr">
        <is>
          <t>30,000,000~50,000,000원</t>
        </is>
      </c>
      <c r="B48" t="n">
        <v>984.1</v>
      </c>
      <c r="C48" t="n">
        <v>120000</v>
      </c>
      <c r="D48" t="n">
        <v>153846</v>
      </c>
      <c r="E48" t="n">
        <v>151394872</v>
      </c>
      <c r="F48" s="3" t="n">
        <v>0.2156</v>
      </c>
    </row>
    <row r="49">
      <c r="A49" t="inlineStr">
        <is>
          <t>50,000,000~66,000,000원</t>
        </is>
      </c>
      <c r="B49" t="n">
        <v>667.9</v>
      </c>
      <c r="C49" t="n">
        <v>130000</v>
      </c>
      <c r="D49" t="n">
        <v>166667</v>
      </c>
      <c r="E49" t="n">
        <v>111322222</v>
      </c>
      <c r="F49" s="3" t="n">
        <v>0.1585</v>
      </c>
    </row>
    <row r="50">
      <c r="A50" t="inlineStr">
        <is>
          <t>66,000,000~90,000,000원</t>
        </is>
      </c>
      <c r="B50" t="n">
        <v>557.4</v>
      </c>
      <c r="C50" t="n">
        <v>240000</v>
      </c>
      <c r="D50" t="n">
        <v>307692</v>
      </c>
      <c r="E50" t="n">
        <v>171497436</v>
      </c>
      <c r="F50" s="3" t="n">
        <v>0.2442</v>
      </c>
    </row>
    <row r="51">
      <c r="A51" t="inlineStr">
        <is>
          <t>90,000,000~130,000,000원</t>
        </is>
      </c>
      <c r="B51" t="n">
        <v>397.2</v>
      </c>
      <c r="C51" t="n">
        <v>250000</v>
      </c>
      <c r="D51" t="n">
        <v>320513</v>
      </c>
      <c r="E51" t="n">
        <v>127307692</v>
      </c>
      <c r="F51" s="3" t="n">
        <v>0.1813</v>
      </c>
    </row>
    <row r="52">
      <c r="A52" t="inlineStr">
        <is>
          <t>130,000,000~170,000,000원</t>
        </is>
      </c>
      <c r="B52" t="n">
        <v>77.7</v>
      </c>
      <c r="C52" t="n">
        <v>480000</v>
      </c>
      <c r="D52" t="n">
        <v>615385</v>
      </c>
      <c r="E52" t="n">
        <v>47835897</v>
      </c>
      <c r="F52" s="3" t="n">
        <v>0.06809999999999999</v>
      </c>
    </row>
    <row r="53">
      <c r="A53" t="inlineStr">
        <is>
          <t>170,000,000원 이상</t>
        </is>
      </c>
      <c r="B53" t="n">
        <v>16.7</v>
      </c>
      <c r="C53" t="n">
        <v>800000</v>
      </c>
      <c r="D53" t="n">
        <v>1025641</v>
      </c>
      <c r="E53" t="n">
        <v>17128205</v>
      </c>
      <c r="F53" s="3" t="n">
        <v>0.0244</v>
      </c>
    </row>
    <row r="54">
      <c r="A54" s="2" t="inlineStr">
        <is>
          <t>합계</t>
        </is>
      </c>
      <c r="B54" s="2">
        <f>SUM(B45:B53)</f>
        <v/>
      </c>
      <c r="E54" s="2">
        <f>SUM(E45:E53)</f>
        <v/>
      </c>
    </row>
    <row r="55"/>
    <row r="56">
      <c r="A56" s="2" t="inlineStr">
        <is>
          <t>시나리오: 흥행 (회차 15)</t>
        </is>
      </c>
    </row>
    <row r="57">
      <c r="A57" s="1" t="inlineStr">
        <is>
          <t>순입금 구간</t>
        </is>
      </c>
      <c r="B57" s="1" t="inlineStr">
        <is>
          <t>인원(회차평균)</t>
        </is>
      </c>
      <c r="C57" s="1" t="inlineStr">
        <is>
          <t>리워드</t>
        </is>
      </c>
      <c r="D57" s="1" t="inlineStr">
        <is>
          <t>1인예산(제세포함)</t>
        </is>
      </c>
      <c r="E57" s="1" t="inlineStr">
        <is>
          <t>소요예산</t>
        </is>
      </c>
      <c r="F57" s="1" t="inlineStr">
        <is>
          <t>예산비중</t>
        </is>
      </c>
    </row>
    <row r="58">
      <c r="A58" t="inlineStr">
        <is>
          <t>5,000,000~10,000,000원</t>
        </is>
      </c>
      <c r="B58" t="n">
        <v>228.4</v>
      </c>
      <c r="C58" t="n">
        <v>20000</v>
      </c>
      <c r="D58" t="n">
        <v>20000</v>
      </c>
      <c r="E58" t="n">
        <v>4568000</v>
      </c>
      <c r="F58" s="3" t="n">
        <v>0.006</v>
      </c>
    </row>
    <row r="59">
      <c r="A59" t="inlineStr">
        <is>
          <t>10,000,000~15,000,000원</t>
        </is>
      </c>
      <c r="B59" t="n">
        <v>384</v>
      </c>
      <c r="C59" t="n">
        <v>40000</v>
      </c>
      <c r="D59" t="n">
        <v>40000</v>
      </c>
      <c r="E59" t="n">
        <v>15360000</v>
      </c>
      <c r="F59" s="3" t="n">
        <v>0.0201</v>
      </c>
    </row>
    <row r="60">
      <c r="A60" t="inlineStr">
        <is>
          <t>15,000,000~30,000,000원</t>
        </is>
      </c>
      <c r="B60" t="n">
        <v>796.2</v>
      </c>
      <c r="C60" t="n">
        <v>60000</v>
      </c>
      <c r="D60" t="n">
        <v>76923</v>
      </c>
      <c r="E60" t="n">
        <v>61246154</v>
      </c>
      <c r="F60" s="3" t="n">
        <v>0.0803</v>
      </c>
    </row>
    <row r="61">
      <c r="A61" t="inlineStr">
        <is>
          <t>30,000,000~50,000,000원</t>
        </is>
      </c>
      <c r="B61" t="n">
        <v>1049.2</v>
      </c>
      <c r="C61" t="n">
        <v>120000</v>
      </c>
      <c r="D61" t="n">
        <v>153846</v>
      </c>
      <c r="E61" t="n">
        <v>161415385</v>
      </c>
      <c r="F61" s="3" t="n">
        <v>0.2116</v>
      </c>
    </row>
    <row r="62">
      <c r="A62" t="inlineStr">
        <is>
          <t>50,000,000~66,000,000원</t>
        </is>
      </c>
      <c r="B62" t="n">
        <v>722.3</v>
      </c>
      <c r="C62" t="n">
        <v>130000</v>
      </c>
      <c r="D62" t="n">
        <v>166667</v>
      </c>
      <c r="E62" t="n">
        <v>120377778</v>
      </c>
      <c r="F62" s="3" t="n">
        <v>0.1578</v>
      </c>
    </row>
    <row r="63">
      <c r="A63" t="inlineStr">
        <is>
          <t>66,000,000~90,000,000원</t>
        </is>
      </c>
      <c r="B63" t="n">
        <v>606.6</v>
      </c>
      <c r="C63" t="n">
        <v>240000</v>
      </c>
      <c r="D63" t="n">
        <v>307692</v>
      </c>
      <c r="E63" t="n">
        <v>186646154</v>
      </c>
      <c r="F63" s="3" t="n">
        <v>0.2447</v>
      </c>
    </row>
    <row r="64">
      <c r="A64" t="inlineStr">
        <is>
          <t>90,000,000~130,000,000원</t>
        </is>
      </c>
      <c r="B64" t="n">
        <v>435.4</v>
      </c>
      <c r="C64" t="n">
        <v>250000</v>
      </c>
      <c r="D64" t="n">
        <v>320513</v>
      </c>
      <c r="E64" t="n">
        <v>139551282</v>
      </c>
      <c r="F64" s="3" t="n">
        <v>0.183</v>
      </c>
    </row>
    <row r="65">
      <c r="A65" t="inlineStr">
        <is>
          <t>130,000,000~170,000,000원</t>
        </is>
      </c>
      <c r="B65" t="n">
        <v>87.90000000000001</v>
      </c>
      <c r="C65" t="n">
        <v>480000</v>
      </c>
      <c r="D65" t="n">
        <v>615385</v>
      </c>
      <c r="E65" t="n">
        <v>54071795</v>
      </c>
      <c r="F65" s="3" t="n">
        <v>0.0709</v>
      </c>
    </row>
    <row r="66">
      <c r="A66" t="inlineStr">
        <is>
          <t>170,000,000원 이상</t>
        </is>
      </c>
      <c r="B66" t="n">
        <v>19</v>
      </c>
      <c r="C66" t="n">
        <v>800000</v>
      </c>
      <c r="D66" t="n">
        <v>1025641</v>
      </c>
      <c r="E66" t="n">
        <v>19487179</v>
      </c>
      <c r="F66" s="3" t="n">
        <v>0.0255</v>
      </c>
    </row>
    <row r="67">
      <c r="A67" s="2" t="inlineStr">
        <is>
          <t>합계</t>
        </is>
      </c>
      <c r="B67" s="2">
        <f>SUM(B58:B66)</f>
        <v/>
      </c>
      <c r="E67" s="2">
        <f>SUM(E58:E66)</f>
        <v/>
      </c>
    </row>
    <row r="68"/>
    <row r="69">
      <c r="A69" s="2" t="inlineStr">
        <is>
          <t>시나리오: 비흥행 (회차 15)</t>
        </is>
      </c>
    </row>
    <row r="70">
      <c r="A70" s="1" t="inlineStr">
        <is>
          <t>순입금 구간</t>
        </is>
      </c>
      <c r="B70" s="1" t="inlineStr">
        <is>
          <t>인원(회차평균)</t>
        </is>
      </c>
      <c r="C70" s="1" t="inlineStr">
        <is>
          <t>리워드</t>
        </is>
      </c>
      <c r="D70" s="1" t="inlineStr">
        <is>
          <t>1인예산(제세포함)</t>
        </is>
      </c>
      <c r="E70" s="1" t="inlineStr">
        <is>
          <t>소요예산</t>
        </is>
      </c>
      <c r="F70" s="1" t="inlineStr">
        <is>
          <t>예산비중</t>
        </is>
      </c>
    </row>
    <row r="71">
      <c r="A71" t="inlineStr">
        <is>
          <t>5,000,000~10,000,000원</t>
        </is>
      </c>
      <c r="B71" t="n">
        <v>197.1</v>
      </c>
      <c r="C71" t="n">
        <v>20000</v>
      </c>
      <c r="D71" t="n">
        <v>20000</v>
      </c>
      <c r="E71" t="n">
        <v>3941333</v>
      </c>
      <c r="F71" s="3" t="n">
        <v>0.0061</v>
      </c>
    </row>
    <row r="72">
      <c r="A72" t="inlineStr">
        <is>
          <t>10,000,000~15,000,000원</t>
        </is>
      </c>
      <c r="B72" t="n">
        <v>338.3</v>
      </c>
      <c r="C72" t="n">
        <v>40000</v>
      </c>
      <c r="D72" t="n">
        <v>40000</v>
      </c>
      <c r="E72" t="n">
        <v>13530667</v>
      </c>
      <c r="F72" s="3" t="n">
        <v>0.0211</v>
      </c>
    </row>
    <row r="73">
      <c r="A73" t="inlineStr">
        <is>
          <t>15,000,000~30,000,000원</t>
        </is>
      </c>
      <c r="B73" t="n">
        <v>690.3</v>
      </c>
      <c r="C73" t="n">
        <v>60000</v>
      </c>
      <c r="D73" t="n">
        <v>76923</v>
      </c>
      <c r="E73" t="n">
        <v>53102564</v>
      </c>
      <c r="F73" s="3" t="n">
        <v>0.0827</v>
      </c>
    </row>
    <row r="74">
      <c r="A74" t="inlineStr">
        <is>
          <t>30,000,000~50,000,000원</t>
        </is>
      </c>
      <c r="B74" t="n">
        <v>918.9</v>
      </c>
      <c r="C74" t="n">
        <v>120000</v>
      </c>
      <c r="D74" t="n">
        <v>153846</v>
      </c>
      <c r="E74" t="n">
        <v>141374359</v>
      </c>
      <c r="F74" s="3" t="n">
        <v>0.2202</v>
      </c>
    </row>
    <row r="75">
      <c r="A75" t="inlineStr">
        <is>
          <t>50,000,000~66,000,000원</t>
        </is>
      </c>
      <c r="B75" t="n">
        <v>613.6</v>
      </c>
      <c r="C75" t="n">
        <v>130000</v>
      </c>
      <c r="D75" t="n">
        <v>166667</v>
      </c>
      <c r="E75" t="n">
        <v>102266667</v>
      </c>
      <c r="F75" s="3" t="n">
        <v>0.1593</v>
      </c>
    </row>
    <row r="76">
      <c r="A76" t="inlineStr">
        <is>
          <t>66,000,000~90,000,000원</t>
        </is>
      </c>
      <c r="B76" t="n">
        <v>508.1</v>
      </c>
      <c r="C76" t="n">
        <v>240000</v>
      </c>
      <c r="D76" t="n">
        <v>307692</v>
      </c>
      <c r="E76" t="n">
        <v>156348718</v>
      </c>
      <c r="F76" s="3" t="n">
        <v>0.2435</v>
      </c>
    </row>
    <row r="77">
      <c r="A77" t="inlineStr">
        <is>
          <t>90,000,000~130,000,000원</t>
        </is>
      </c>
      <c r="B77" t="n">
        <v>359</v>
      </c>
      <c r="C77" t="n">
        <v>250000</v>
      </c>
      <c r="D77" t="n">
        <v>320513</v>
      </c>
      <c r="E77" t="n">
        <v>115064103</v>
      </c>
      <c r="F77" s="3" t="n">
        <v>0.1792</v>
      </c>
    </row>
    <row r="78">
      <c r="A78" t="inlineStr">
        <is>
          <t>130,000,000~170,000,000원</t>
        </is>
      </c>
      <c r="B78" t="n">
        <v>67.59999999999999</v>
      </c>
      <c r="C78" t="n">
        <v>480000</v>
      </c>
      <c r="D78" t="n">
        <v>615385</v>
      </c>
      <c r="E78" t="n">
        <v>41600000</v>
      </c>
      <c r="F78" s="3" t="n">
        <v>0.0648</v>
      </c>
    </row>
    <row r="79">
      <c r="A79" t="inlineStr">
        <is>
          <t>170,000,000원 이상</t>
        </is>
      </c>
      <c r="B79" t="n">
        <v>14.4</v>
      </c>
      <c r="C79" t="n">
        <v>800000</v>
      </c>
      <c r="D79" t="n">
        <v>1025641</v>
      </c>
      <c r="E79" t="n">
        <v>14769231</v>
      </c>
      <c r="F79" s="3" t="n">
        <v>0.023</v>
      </c>
    </row>
    <row r="80">
      <c r="A80" s="2" t="inlineStr">
        <is>
          <t>합계</t>
        </is>
      </c>
      <c r="B80" s="2">
        <f>SUM(B71:B79)</f>
        <v/>
      </c>
      <c r="E80" s="2">
        <f>SUM(E71:E79)</f>
        <v/>
      </c>
    </row>
    <row r="81"/>
    <row r="82"/>
    <row r="83">
      <c r="A83" s="2" t="inlineStr">
        <is>
          <t>[안3_효율우선]</t>
        </is>
      </c>
    </row>
    <row r="84">
      <c r="A84" s="2" t="inlineStr">
        <is>
          <t>시나리오: 전체(평균) (회차 30)</t>
        </is>
      </c>
    </row>
    <row r="85">
      <c r="A85" s="1" t="inlineStr">
        <is>
          <t>순입금 구간</t>
        </is>
      </c>
      <c r="B85" s="1" t="inlineStr">
        <is>
          <t>인원(회차평균)</t>
        </is>
      </c>
      <c r="C85" s="1" t="inlineStr">
        <is>
          <t>리워드</t>
        </is>
      </c>
      <c r="D85" s="1" t="inlineStr">
        <is>
          <t>1인예산(제세포함)</t>
        </is>
      </c>
      <c r="E85" s="1" t="inlineStr">
        <is>
          <t>소요예산</t>
        </is>
      </c>
      <c r="F85" s="1" t="inlineStr">
        <is>
          <t>예산비중</t>
        </is>
      </c>
    </row>
    <row r="86">
      <c r="A86" t="inlineStr">
        <is>
          <t>5,000,000~10,000,000원</t>
        </is>
      </c>
      <c r="B86" t="n">
        <v>212.7</v>
      </c>
      <c r="C86" t="n">
        <v>20000</v>
      </c>
      <c r="D86" t="n">
        <v>20000</v>
      </c>
      <c r="E86" t="n">
        <v>4254667</v>
      </c>
      <c r="F86" s="3" t="n">
        <v>0.0062</v>
      </c>
    </row>
    <row r="87">
      <c r="A87" t="inlineStr">
        <is>
          <t>10,000,000~15,000,000원</t>
        </is>
      </c>
      <c r="B87" t="n">
        <v>361.1</v>
      </c>
      <c r="C87" t="n">
        <v>30000</v>
      </c>
      <c r="D87" t="n">
        <v>30000</v>
      </c>
      <c r="E87" t="n">
        <v>10834000</v>
      </c>
      <c r="F87" s="3" t="n">
        <v>0.0159</v>
      </c>
    </row>
    <row r="88">
      <c r="A88" t="inlineStr">
        <is>
          <t>15,000,000~30,000,000원</t>
        </is>
      </c>
      <c r="B88" t="n">
        <v>743.3</v>
      </c>
      <c r="C88" t="n">
        <v>60000</v>
      </c>
      <c r="D88" t="n">
        <v>76923</v>
      </c>
      <c r="E88" t="n">
        <v>57174359</v>
      </c>
      <c r="F88" s="3" t="n">
        <v>0.0838</v>
      </c>
    </row>
    <row r="89">
      <c r="A89" t="inlineStr">
        <is>
          <t>30,000,000~50,000,000원</t>
        </is>
      </c>
      <c r="B89" t="n">
        <v>984.1</v>
      </c>
      <c r="C89" t="n">
        <v>120000</v>
      </c>
      <c r="D89" t="n">
        <v>153846</v>
      </c>
      <c r="E89" t="n">
        <v>151394872</v>
      </c>
      <c r="F89" s="3" t="n">
        <v>0.2218</v>
      </c>
    </row>
    <row r="90">
      <c r="A90" t="inlineStr">
        <is>
          <t>50,000,000~66,000,000원</t>
        </is>
      </c>
      <c r="B90" t="n">
        <v>667.9</v>
      </c>
      <c r="C90" t="n">
        <v>130000</v>
      </c>
      <c r="D90" t="n">
        <v>166667</v>
      </c>
      <c r="E90" t="n">
        <v>111322222</v>
      </c>
      <c r="F90" s="3" t="n">
        <v>0.1631</v>
      </c>
    </row>
    <row r="91">
      <c r="A91" t="inlineStr">
        <is>
          <t>66,000,000~90,000,000원</t>
        </is>
      </c>
      <c r="B91" t="n">
        <v>557.4</v>
      </c>
      <c r="C91" t="n">
        <v>230000</v>
      </c>
      <c r="D91" t="n">
        <v>294872</v>
      </c>
      <c r="E91" t="n">
        <v>164351709</v>
      </c>
      <c r="F91" s="3" t="n">
        <v>0.2408</v>
      </c>
    </row>
    <row r="92">
      <c r="A92" t="inlineStr">
        <is>
          <t>90,000,000~130,000,000원</t>
        </is>
      </c>
      <c r="B92" t="n">
        <v>397.2</v>
      </c>
      <c r="C92" t="n">
        <v>240000</v>
      </c>
      <c r="D92" t="n">
        <v>307692</v>
      </c>
      <c r="E92" t="n">
        <v>122215385</v>
      </c>
      <c r="F92" s="3" t="n">
        <v>0.1791</v>
      </c>
    </row>
    <row r="93">
      <c r="A93" t="inlineStr">
        <is>
          <t>130,000,000~170,000,000원</t>
        </is>
      </c>
      <c r="B93" t="n">
        <v>77.7</v>
      </c>
      <c r="C93" t="n">
        <v>450000</v>
      </c>
      <c r="D93" t="n">
        <v>576923</v>
      </c>
      <c r="E93" t="n">
        <v>44846154</v>
      </c>
      <c r="F93" s="3" t="n">
        <v>0.06569999999999999</v>
      </c>
    </row>
    <row r="94">
      <c r="A94" t="inlineStr">
        <is>
          <t>170,000,000원 이상</t>
        </is>
      </c>
      <c r="B94" t="n">
        <v>16.7</v>
      </c>
      <c r="C94" t="n">
        <v>750000</v>
      </c>
      <c r="D94" t="n">
        <v>961538</v>
      </c>
      <c r="E94" t="n">
        <v>16057692</v>
      </c>
      <c r="F94" s="3" t="n">
        <v>0.0235</v>
      </c>
    </row>
    <row r="95">
      <c r="A95" s="2" t="inlineStr">
        <is>
          <t>합계</t>
        </is>
      </c>
      <c r="B95" s="2">
        <f>SUM(B86:B94)</f>
        <v/>
      </c>
      <c r="E95" s="2">
        <f>SUM(E86:E94)</f>
        <v/>
      </c>
    </row>
    <row r="96"/>
    <row r="97">
      <c r="A97" s="2" t="inlineStr">
        <is>
          <t>시나리오: 흥행 (회차 15)</t>
        </is>
      </c>
    </row>
    <row r="98">
      <c r="A98" s="1" t="inlineStr">
        <is>
          <t>순입금 구간</t>
        </is>
      </c>
      <c r="B98" s="1" t="inlineStr">
        <is>
          <t>인원(회차평균)</t>
        </is>
      </c>
      <c r="C98" s="1" t="inlineStr">
        <is>
          <t>리워드</t>
        </is>
      </c>
      <c r="D98" s="1" t="inlineStr">
        <is>
          <t>1인예산(제세포함)</t>
        </is>
      </c>
      <c r="E98" s="1" t="inlineStr">
        <is>
          <t>소요예산</t>
        </is>
      </c>
      <c r="F98" s="1" t="inlineStr">
        <is>
          <t>예산비중</t>
        </is>
      </c>
    </row>
    <row r="99">
      <c r="A99" t="inlineStr">
        <is>
          <t>5,000,000~10,000,000원</t>
        </is>
      </c>
      <c r="B99" t="n">
        <v>228.4</v>
      </c>
      <c r="C99" t="n">
        <v>20000</v>
      </c>
      <c r="D99" t="n">
        <v>20000</v>
      </c>
      <c r="E99" t="n">
        <v>4568000</v>
      </c>
      <c r="F99" s="3" t="n">
        <v>0.0062</v>
      </c>
    </row>
    <row r="100">
      <c r="A100" t="inlineStr">
        <is>
          <t>10,000,000~15,000,000원</t>
        </is>
      </c>
      <c r="B100" t="n">
        <v>384</v>
      </c>
      <c r="C100" t="n">
        <v>30000</v>
      </c>
      <c r="D100" t="n">
        <v>30000</v>
      </c>
      <c r="E100" t="n">
        <v>11520000</v>
      </c>
      <c r="F100" s="3" t="n">
        <v>0.0155</v>
      </c>
    </row>
    <row r="101">
      <c r="A101" t="inlineStr">
        <is>
          <t>15,000,000~30,000,000원</t>
        </is>
      </c>
      <c r="B101" t="n">
        <v>796.2</v>
      </c>
      <c r="C101" t="n">
        <v>60000</v>
      </c>
      <c r="D101" t="n">
        <v>76923</v>
      </c>
      <c r="E101" t="n">
        <v>61246154</v>
      </c>
      <c r="F101" s="3" t="n">
        <v>0.0827</v>
      </c>
    </row>
    <row r="102">
      <c r="A102" t="inlineStr">
        <is>
          <t>30,000,000~50,000,000원</t>
        </is>
      </c>
      <c r="B102" t="n">
        <v>1049.2</v>
      </c>
      <c r="C102" t="n">
        <v>120000</v>
      </c>
      <c r="D102" t="n">
        <v>153846</v>
      </c>
      <c r="E102" t="n">
        <v>161415385</v>
      </c>
      <c r="F102" s="3" t="n">
        <v>0.2179</v>
      </c>
    </row>
    <row r="103">
      <c r="A103" t="inlineStr">
        <is>
          <t>50,000,000~66,000,000원</t>
        </is>
      </c>
      <c r="B103" t="n">
        <v>722.3</v>
      </c>
      <c r="C103" t="n">
        <v>130000</v>
      </c>
      <c r="D103" t="n">
        <v>166667</v>
      </c>
      <c r="E103" t="n">
        <v>120377778</v>
      </c>
      <c r="F103" s="3" t="n">
        <v>0.1625</v>
      </c>
    </row>
    <row r="104">
      <c r="A104" t="inlineStr">
        <is>
          <t>66,000,000~90,000,000원</t>
        </is>
      </c>
      <c r="B104" t="n">
        <v>606.6</v>
      </c>
      <c r="C104" t="n">
        <v>230000</v>
      </c>
      <c r="D104" t="n">
        <v>294872</v>
      </c>
      <c r="E104" t="n">
        <v>178869231</v>
      </c>
      <c r="F104" s="3" t="n">
        <v>0.2414</v>
      </c>
    </row>
    <row r="105">
      <c r="A105" t="inlineStr">
        <is>
          <t>90,000,000~130,000,000원</t>
        </is>
      </c>
      <c r="B105" t="n">
        <v>435.4</v>
      </c>
      <c r="C105" t="n">
        <v>240000</v>
      </c>
      <c r="D105" t="n">
        <v>307692</v>
      </c>
      <c r="E105" t="n">
        <v>133969231</v>
      </c>
      <c r="F105" s="3" t="n">
        <v>0.1808</v>
      </c>
    </row>
    <row r="106">
      <c r="A106" t="inlineStr">
        <is>
          <t>130,000,000~170,000,000원</t>
        </is>
      </c>
      <c r="B106" t="n">
        <v>87.90000000000001</v>
      </c>
      <c r="C106" t="n">
        <v>450000</v>
      </c>
      <c r="D106" t="n">
        <v>576923</v>
      </c>
      <c r="E106" t="n">
        <v>50692308</v>
      </c>
      <c r="F106" s="3" t="n">
        <v>0.0684</v>
      </c>
    </row>
    <row r="107">
      <c r="A107" t="inlineStr">
        <is>
          <t>170,000,000원 이상</t>
        </is>
      </c>
      <c r="B107" t="n">
        <v>19</v>
      </c>
      <c r="C107" t="n">
        <v>750000</v>
      </c>
      <c r="D107" t="n">
        <v>961538</v>
      </c>
      <c r="E107" t="n">
        <v>18269231</v>
      </c>
      <c r="F107" s="3" t="n">
        <v>0.0247</v>
      </c>
    </row>
    <row r="108">
      <c r="A108" s="2" t="inlineStr">
        <is>
          <t>합계</t>
        </is>
      </c>
      <c r="B108" s="2">
        <f>SUM(B99:B107)</f>
        <v/>
      </c>
      <c r="E108" s="2">
        <f>SUM(E99:E107)</f>
        <v/>
      </c>
    </row>
    <row r="109"/>
    <row r="110">
      <c r="A110" s="2" t="inlineStr">
        <is>
          <t>시나리오: 비흥행 (회차 15)</t>
        </is>
      </c>
    </row>
    <row r="111">
      <c r="A111" s="1" t="inlineStr">
        <is>
          <t>순입금 구간</t>
        </is>
      </c>
      <c r="B111" s="1" t="inlineStr">
        <is>
          <t>인원(회차평균)</t>
        </is>
      </c>
      <c r="C111" s="1" t="inlineStr">
        <is>
          <t>리워드</t>
        </is>
      </c>
      <c r="D111" s="1" t="inlineStr">
        <is>
          <t>1인예산(제세포함)</t>
        </is>
      </c>
      <c r="E111" s="1" t="inlineStr">
        <is>
          <t>소요예산</t>
        </is>
      </c>
      <c r="F111" s="1" t="inlineStr">
        <is>
          <t>예산비중</t>
        </is>
      </c>
    </row>
    <row r="112">
      <c r="A112" t="inlineStr">
        <is>
          <t>5,000,000~10,000,000원</t>
        </is>
      </c>
      <c r="B112" t="n">
        <v>197.1</v>
      </c>
      <c r="C112" t="n">
        <v>20000</v>
      </c>
      <c r="D112" t="n">
        <v>20000</v>
      </c>
      <c r="E112" t="n">
        <v>3941333</v>
      </c>
      <c r="F112" s="3" t="n">
        <v>0.0063</v>
      </c>
    </row>
    <row r="113">
      <c r="A113" t="inlineStr">
        <is>
          <t>10,000,000~15,000,000원</t>
        </is>
      </c>
      <c r="B113" t="n">
        <v>338.3</v>
      </c>
      <c r="C113" t="n">
        <v>30000</v>
      </c>
      <c r="D113" t="n">
        <v>30000</v>
      </c>
      <c r="E113" t="n">
        <v>10148000</v>
      </c>
      <c r="F113" s="3" t="n">
        <v>0.0163</v>
      </c>
    </row>
    <row r="114">
      <c r="A114" t="inlineStr">
        <is>
          <t>15,000,000~30,000,000원</t>
        </is>
      </c>
      <c r="B114" t="n">
        <v>690.3</v>
      </c>
      <c r="C114" t="n">
        <v>60000</v>
      </c>
      <c r="D114" t="n">
        <v>76923</v>
      </c>
      <c r="E114" t="n">
        <v>53102564</v>
      </c>
      <c r="F114" s="3" t="n">
        <v>0.0851</v>
      </c>
    </row>
    <row r="115">
      <c r="A115" t="inlineStr">
        <is>
          <t>30,000,000~50,000,000원</t>
        </is>
      </c>
      <c r="B115" t="n">
        <v>918.9</v>
      </c>
      <c r="C115" t="n">
        <v>120000</v>
      </c>
      <c r="D115" t="n">
        <v>153846</v>
      </c>
      <c r="E115" t="n">
        <v>141374359</v>
      </c>
      <c r="F115" s="3" t="n">
        <v>0.2266</v>
      </c>
    </row>
    <row r="116">
      <c r="A116" t="inlineStr">
        <is>
          <t>50,000,000~66,000,000원</t>
        </is>
      </c>
      <c r="B116" t="n">
        <v>613.6</v>
      </c>
      <c r="C116" t="n">
        <v>130000</v>
      </c>
      <c r="D116" t="n">
        <v>166667</v>
      </c>
      <c r="E116" t="n">
        <v>102266667</v>
      </c>
      <c r="F116" s="3" t="n">
        <v>0.1639</v>
      </c>
    </row>
    <row r="117">
      <c r="A117" t="inlineStr">
        <is>
          <t>66,000,000~90,000,000원</t>
        </is>
      </c>
      <c r="B117" t="n">
        <v>508.1</v>
      </c>
      <c r="C117" t="n">
        <v>230000</v>
      </c>
      <c r="D117" t="n">
        <v>294872</v>
      </c>
      <c r="E117" t="n">
        <v>149834188</v>
      </c>
      <c r="F117" s="3" t="n">
        <v>0.2401</v>
      </c>
    </row>
    <row r="118">
      <c r="A118" t="inlineStr">
        <is>
          <t>90,000,000~130,000,000원</t>
        </is>
      </c>
      <c r="B118" t="n">
        <v>359</v>
      </c>
      <c r="C118" t="n">
        <v>240000</v>
      </c>
      <c r="D118" t="n">
        <v>307692</v>
      </c>
      <c r="E118" t="n">
        <v>110461538</v>
      </c>
      <c r="F118" s="3" t="n">
        <v>0.177</v>
      </c>
    </row>
    <row r="119">
      <c r="A119" t="inlineStr">
        <is>
          <t>130,000,000~170,000,000원</t>
        </is>
      </c>
      <c r="B119" t="n">
        <v>67.59999999999999</v>
      </c>
      <c r="C119" t="n">
        <v>450000</v>
      </c>
      <c r="D119" t="n">
        <v>576923</v>
      </c>
      <c r="E119" t="n">
        <v>39000000</v>
      </c>
      <c r="F119" s="3" t="n">
        <v>0.0625</v>
      </c>
    </row>
    <row r="120">
      <c r="A120" t="inlineStr">
        <is>
          <t>170,000,000원 이상</t>
        </is>
      </c>
      <c r="B120" t="n">
        <v>14.4</v>
      </c>
      <c r="C120" t="n">
        <v>750000</v>
      </c>
      <c r="D120" t="n">
        <v>961538</v>
      </c>
      <c r="E120" t="n">
        <v>13846154</v>
      </c>
      <c r="F120" s="3" t="n">
        <v>0.0222</v>
      </c>
    </row>
    <row r="121">
      <c r="A121" s="2" t="inlineStr">
        <is>
          <t>합계</t>
        </is>
      </c>
      <c r="B121" s="2">
        <f>SUM(B112:B120)</f>
        <v/>
      </c>
      <c r="E121" s="2">
        <f>SUM(E112:E120)</f>
        <v/>
      </c>
    </row>
    <row r="122"/>
    <row r="123"/>
    <row r="124">
      <c r="A124" t="inlineStr">
        <is>
          <t>주: 탄력성 미반영(신청자 유지 가정) 보수적 집계. 모델 추정 예산은 '케이스비교' 시트 참조. 예산 확보는 worst-case 기준 권고.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</cols>
  <sheetData>
    <row r="1">
      <c r="A1" s="1" t="inlineStr">
        <is>
          <t>예산_평균(원)</t>
        </is>
      </c>
      <c r="B1" s="1" t="inlineStr">
        <is>
          <t>유치이전금액_평균(원)</t>
        </is>
      </c>
      <c r="C1" s="1" t="inlineStr">
        <is>
          <t>효율_배</t>
        </is>
      </c>
      <c r="D1" s="1" t="inlineStr">
        <is>
          <t>매력도지수</t>
        </is>
      </c>
    </row>
    <row r="2">
      <c r="A2" t="n">
        <v>145412414</v>
      </c>
      <c r="B2" t="n">
        <v>116780233379</v>
      </c>
      <c r="C2" t="n">
        <v>803.1</v>
      </c>
      <c r="D2" t="n">
        <v>0.5857</v>
      </c>
    </row>
    <row r="3">
      <c r="A3" t="n">
        <v>152671625</v>
      </c>
      <c r="B3" t="n">
        <v>117638015754</v>
      </c>
      <c r="C3" t="n">
        <v>770.5</v>
      </c>
      <c r="D3" t="n">
        <v>0.59</v>
      </c>
    </row>
    <row r="4">
      <c r="A4" t="n">
        <v>156887863</v>
      </c>
      <c r="B4" t="n">
        <v>118962888349</v>
      </c>
      <c r="C4" t="n">
        <v>758.3</v>
      </c>
      <c r="D4" t="n">
        <v>0.5967</v>
      </c>
    </row>
    <row r="5">
      <c r="A5" t="n">
        <v>159252605</v>
      </c>
      <c r="B5" t="n">
        <v>119451054416</v>
      </c>
      <c r="C5" t="n">
        <v>750.1</v>
      </c>
      <c r="D5" t="n">
        <v>0.5991</v>
      </c>
    </row>
    <row r="6">
      <c r="A6" t="n">
        <v>160113614</v>
      </c>
      <c r="B6" t="n">
        <v>120273370343</v>
      </c>
      <c r="C6" t="n">
        <v>751.2</v>
      </c>
      <c r="D6" t="n">
        <v>0.6032999999999999</v>
      </c>
    </row>
    <row r="7">
      <c r="A7" t="n">
        <v>164837198</v>
      </c>
      <c r="B7" t="n">
        <v>120605552842</v>
      </c>
      <c r="C7" t="n">
        <v>731.7</v>
      </c>
      <c r="D7" t="n">
        <v>0.6049</v>
      </c>
    </row>
    <row r="8">
      <c r="A8" t="n">
        <v>168125702</v>
      </c>
      <c r="B8" t="n">
        <v>121551821228</v>
      </c>
      <c r="C8" t="n">
        <v>723</v>
      </c>
      <c r="D8" t="n">
        <v>0.6097</v>
      </c>
    </row>
    <row r="9">
      <c r="A9" t="n">
        <v>171589063</v>
      </c>
      <c r="B9" t="n">
        <v>122456025313</v>
      </c>
      <c r="C9" t="n">
        <v>713.7</v>
      </c>
      <c r="D9" t="n">
        <v>0.6142</v>
      </c>
    </row>
    <row r="10">
      <c r="A10" t="n">
        <v>172690626</v>
      </c>
      <c r="B10" t="n">
        <v>122844663662</v>
      </c>
      <c r="C10" t="n">
        <v>711.4</v>
      </c>
      <c r="D10" t="n">
        <v>0.6162</v>
      </c>
    </row>
    <row r="11">
      <c r="A11" t="n">
        <v>175366211</v>
      </c>
      <c r="B11" t="n">
        <v>123253318476</v>
      </c>
      <c r="C11" t="n">
        <v>702.8</v>
      </c>
      <c r="D11" t="n">
        <v>0.6182</v>
      </c>
    </row>
    <row r="12">
      <c r="A12" t="n">
        <v>175449549</v>
      </c>
      <c r="B12" t="n">
        <v>123263696893</v>
      </c>
      <c r="C12" t="n">
        <v>702.6</v>
      </c>
      <c r="D12" t="n">
        <v>0.6183</v>
      </c>
    </row>
    <row r="13">
      <c r="A13" t="n">
        <v>175534804</v>
      </c>
      <c r="B13" t="n">
        <v>123274478381</v>
      </c>
      <c r="C13" t="n">
        <v>702.3</v>
      </c>
      <c r="D13" t="n">
        <v>0.6183</v>
      </c>
    </row>
    <row r="14">
      <c r="A14" t="n">
        <v>177797817</v>
      </c>
      <c r="B14" t="n">
        <v>123312557188</v>
      </c>
      <c r="C14" t="n">
        <v>693.6</v>
      </c>
      <c r="D14" t="n">
        <v>0.6185</v>
      </c>
    </row>
    <row r="15">
      <c r="A15" t="n">
        <v>179538398</v>
      </c>
      <c r="B15" t="n">
        <v>124098689806</v>
      </c>
      <c r="C15" t="n">
        <v>691.2</v>
      </c>
      <c r="D15" t="n">
        <v>0.6225000000000001</v>
      </c>
    </row>
    <row r="16">
      <c r="A16" t="n">
        <v>181206236</v>
      </c>
      <c r="B16" t="n">
        <v>124663874267</v>
      </c>
      <c r="C16" t="n">
        <v>688</v>
      </c>
      <c r="D16" t="n">
        <v>0.6253</v>
      </c>
    </row>
    <row r="17">
      <c r="A17" t="n">
        <v>182826902</v>
      </c>
      <c r="B17" t="n">
        <v>125044958192</v>
      </c>
      <c r="C17" t="n">
        <v>684</v>
      </c>
      <c r="D17" t="n">
        <v>0.6272</v>
      </c>
    </row>
    <row r="18">
      <c r="A18" t="n">
        <v>192256791</v>
      </c>
      <c r="B18" t="n">
        <v>126414516170</v>
      </c>
      <c r="C18" t="n">
        <v>657.5</v>
      </c>
      <c r="D18" t="n">
        <v>0.6341</v>
      </c>
    </row>
    <row r="19">
      <c r="A19" t="n">
        <v>192681685</v>
      </c>
      <c r="B19" t="n">
        <v>126846529238</v>
      </c>
      <c r="C19" t="n">
        <v>658.3</v>
      </c>
      <c r="D19" t="n">
        <v>0.6363</v>
      </c>
    </row>
    <row r="20">
      <c r="A20" t="n">
        <v>196458833</v>
      </c>
      <c r="B20" t="n">
        <v>127643822401</v>
      </c>
      <c r="C20" t="n">
        <v>649.7</v>
      </c>
      <c r="D20" t="n">
        <v>0.6403</v>
      </c>
    </row>
    <row r="21">
      <c r="A21" t="n">
        <v>196542171</v>
      </c>
      <c r="B21" t="n">
        <v>127654200818</v>
      </c>
      <c r="C21" t="n">
        <v>649.5</v>
      </c>
      <c r="D21" t="n">
        <v>0.6403</v>
      </c>
    </row>
    <row r="22">
      <c r="A22" t="n">
        <v>196627426</v>
      </c>
      <c r="B22" t="n">
        <v>127664982305</v>
      </c>
      <c r="C22" t="n">
        <v>649.3</v>
      </c>
      <c r="D22" t="n">
        <v>0.6404</v>
      </c>
    </row>
    <row r="23">
      <c r="A23" t="n">
        <v>198890439</v>
      </c>
      <c r="B23" t="n">
        <v>127703061112</v>
      </c>
      <c r="C23" t="n">
        <v>642.1</v>
      </c>
      <c r="D23" t="n">
        <v>0.6405999999999999</v>
      </c>
    </row>
    <row r="24">
      <c r="A24" t="n">
        <v>200631021</v>
      </c>
      <c r="B24" t="n">
        <v>128489193730</v>
      </c>
      <c r="C24" t="n">
        <v>640.4</v>
      </c>
      <c r="D24" t="n">
        <v>0.6445</v>
      </c>
    </row>
    <row r="25">
      <c r="A25" t="n">
        <v>206131980</v>
      </c>
      <c r="B25" t="n">
        <v>128674052333</v>
      </c>
      <c r="C25" t="n">
        <v>624.2</v>
      </c>
      <c r="D25" t="n">
        <v>0.6454</v>
      </c>
    </row>
    <row r="26">
      <c r="A26" t="n">
        <v>208772402</v>
      </c>
      <c r="B26" t="n">
        <v>129077002773</v>
      </c>
      <c r="C26" t="n">
        <v>618.3</v>
      </c>
      <c r="D26" t="n">
        <v>0.6474</v>
      </c>
    </row>
    <row r="27">
      <c r="A27" t="n">
        <v>208890903</v>
      </c>
      <c r="B27" t="n">
        <v>129093085564</v>
      </c>
      <c r="C27" t="n">
        <v>618</v>
      </c>
      <c r="D27" t="n">
        <v>0.6475</v>
      </c>
    </row>
    <row r="28">
      <c r="A28" t="n">
        <v>209012011</v>
      </c>
      <c r="B28" t="n">
        <v>129109451856</v>
      </c>
      <c r="C28" t="n">
        <v>617.7</v>
      </c>
      <c r="D28" t="n">
        <v>0.6475</v>
      </c>
    </row>
    <row r="29">
      <c r="A29" t="n">
        <v>211239171</v>
      </c>
      <c r="B29" t="n">
        <v>129141945859</v>
      </c>
      <c r="C29" t="n">
        <v>611.4</v>
      </c>
      <c r="D29" t="n">
        <v>0.6477000000000001</v>
      </c>
    </row>
    <row r="30">
      <c r="A30" t="n">
        <v>213349413</v>
      </c>
      <c r="B30" t="n">
        <v>130805020095</v>
      </c>
      <c r="C30" t="n">
        <v>613.1</v>
      </c>
      <c r="D30" t="n">
        <v>0.6561</v>
      </c>
    </row>
    <row r="31">
      <c r="A31" t="n">
        <v>216268256</v>
      </c>
      <c r="B31" t="n">
        <v>130874346863</v>
      </c>
      <c r="C31" t="n">
        <v>605.1</v>
      </c>
      <c r="D31" t="n">
        <v>0.6564</v>
      </c>
    </row>
    <row r="32">
      <c r="A32" t="n">
        <v>217626465</v>
      </c>
      <c r="B32" t="n">
        <v>131340696989</v>
      </c>
      <c r="C32" t="n">
        <v>603.5</v>
      </c>
      <c r="D32" t="n">
        <v>0.6588000000000001</v>
      </c>
    </row>
    <row r="33">
      <c r="A33" t="n">
        <v>225118251</v>
      </c>
      <c r="B33" t="n">
        <v>132772410392</v>
      </c>
      <c r="C33" t="n">
        <v>589.8</v>
      </c>
      <c r="D33" t="n">
        <v>0.666</v>
      </c>
    </row>
    <row r="34">
      <c r="A34" t="n">
        <v>229865024</v>
      </c>
      <c r="B34" t="n">
        <v>133467506697</v>
      </c>
      <c r="C34" t="n">
        <v>580.6</v>
      </c>
      <c r="D34" t="n">
        <v>0.6694</v>
      </c>
    </row>
    <row r="35">
      <c r="A35" t="n">
        <v>229983526</v>
      </c>
      <c r="B35" t="n">
        <v>133483589489</v>
      </c>
      <c r="C35" t="n">
        <v>580.4</v>
      </c>
      <c r="D35" t="n">
        <v>0.6695</v>
      </c>
    </row>
    <row r="36">
      <c r="A36" t="n">
        <v>230104633</v>
      </c>
      <c r="B36" t="n">
        <v>133499955780</v>
      </c>
      <c r="C36" t="n">
        <v>580.2</v>
      </c>
      <c r="D36" t="n">
        <v>0.6696</v>
      </c>
    </row>
    <row r="37">
      <c r="A37" t="n">
        <v>231341734</v>
      </c>
      <c r="B37" t="n">
        <v>133949939616</v>
      </c>
      <c r="C37" t="n">
        <v>579</v>
      </c>
      <c r="D37" t="n">
        <v>0.6719000000000001</v>
      </c>
    </row>
    <row r="38">
      <c r="A38" t="n">
        <v>234865140</v>
      </c>
      <c r="B38" t="n">
        <v>134142615627</v>
      </c>
      <c r="C38" t="n">
        <v>571.1</v>
      </c>
      <c r="D38" t="n">
        <v>0.6728</v>
      </c>
    </row>
    <row r="39">
      <c r="A39" t="n">
        <v>236368270</v>
      </c>
      <c r="B39" t="n">
        <v>134335702711</v>
      </c>
      <c r="C39" t="n">
        <v>568.3</v>
      </c>
      <c r="D39" t="n">
        <v>0.6738</v>
      </c>
    </row>
    <row r="40">
      <c r="A40" t="n">
        <v>236451608</v>
      </c>
      <c r="B40" t="n">
        <v>134346081128</v>
      </c>
      <c r="C40" t="n">
        <v>568.2</v>
      </c>
      <c r="D40" t="n">
        <v>0.6739000000000001</v>
      </c>
    </row>
    <row r="41">
      <c r="A41" t="n">
        <v>236536863</v>
      </c>
      <c r="B41" t="n">
        <v>134356862616</v>
      </c>
      <c r="C41" t="n">
        <v>568</v>
      </c>
      <c r="D41" t="n">
        <v>0.6739000000000001</v>
      </c>
    </row>
    <row r="42">
      <c r="A42" t="n">
        <v>238799876</v>
      </c>
      <c r="B42" t="n">
        <v>134394941423</v>
      </c>
      <c r="C42" t="n">
        <v>562.8</v>
      </c>
      <c r="D42" t="n">
        <v>0.6741</v>
      </c>
    </row>
    <row r="43">
      <c r="A43" t="n">
        <v>240540458</v>
      </c>
      <c r="B43" t="n">
        <v>135181074041</v>
      </c>
      <c r="C43" t="n">
        <v>562</v>
      </c>
      <c r="D43" t="n">
        <v>0.6781</v>
      </c>
    </row>
    <row r="44">
      <c r="A44" t="n">
        <v>246306392</v>
      </c>
      <c r="B44" t="n">
        <v>136147652175</v>
      </c>
      <c r="C44" t="n">
        <v>552.8</v>
      </c>
      <c r="D44" t="n">
        <v>0.6829</v>
      </c>
    </row>
    <row r="45">
      <c r="A45" t="n">
        <v>246790767</v>
      </c>
      <c r="B45" t="n">
        <v>136634408766</v>
      </c>
      <c r="C45" t="n">
        <v>553.6</v>
      </c>
      <c r="D45" t="n">
        <v>0.6853</v>
      </c>
    </row>
    <row r="46">
      <c r="A46" t="n">
        <v>250083540</v>
      </c>
      <c r="B46" t="n">
        <v>136944945337</v>
      </c>
      <c r="C46" t="n">
        <v>547.6</v>
      </c>
      <c r="D46" t="n">
        <v>0.6869</v>
      </c>
    </row>
    <row r="47">
      <c r="A47" t="n">
        <v>250166878</v>
      </c>
      <c r="B47" t="n">
        <v>136955323755</v>
      </c>
      <c r="C47" t="n">
        <v>547.5</v>
      </c>
      <c r="D47" t="n">
        <v>0.6870000000000001</v>
      </c>
    </row>
    <row r="48">
      <c r="A48" t="n">
        <v>250252133</v>
      </c>
      <c r="B48" t="n">
        <v>136966105242</v>
      </c>
      <c r="C48" t="n">
        <v>547.3</v>
      </c>
      <c r="D48" t="n">
        <v>0.6870000000000001</v>
      </c>
    </row>
    <row r="49">
      <c r="A49" t="n">
        <v>251067819</v>
      </c>
      <c r="B49" t="n">
        <v>137170085660</v>
      </c>
      <c r="C49" t="n">
        <v>546.3</v>
      </c>
      <c r="D49" t="n">
        <v>0.6879999999999999</v>
      </c>
    </row>
    <row r="50">
      <c r="A50" t="n">
        <v>254255727</v>
      </c>
      <c r="B50" t="n">
        <v>137790316667</v>
      </c>
      <c r="C50" t="n">
        <v>541.9</v>
      </c>
      <c r="D50" t="n">
        <v>0.6912</v>
      </c>
    </row>
    <row r="51">
      <c r="A51" t="n">
        <v>264783089</v>
      </c>
      <c r="B51" t="n">
        <v>139779328287</v>
      </c>
      <c r="C51" t="n">
        <v>527.9</v>
      </c>
      <c r="D51" t="n">
        <v>0.7010999999999999</v>
      </c>
    </row>
    <row r="52">
      <c r="A52" t="n">
        <v>269774462</v>
      </c>
      <c r="B52" t="n">
        <v>140159387008</v>
      </c>
      <c r="C52" t="n">
        <v>519.5</v>
      </c>
      <c r="D52" t="n">
        <v>0.703</v>
      </c>
    </row>
    <row r="53">
      <c r="A53" t="n">
        <v>269892963</v>
      </c>
      <c r="B53" t="n">
        <v>140175469799</v>
      </c>
      <c r="C53" t="n">
        <v>519.4</v>
      </c>
      <c r="D53" t="n">
        <v>0.7030999999999999</v>
      </c>
    </row>
    <row r="54">
      <c r="A54" t="n">
        <v>270014070</v>
      </c>
      <c r="B54" t="n">
        <v>140191836091</v>
      </c>
      <c r="C54" t="n">
        <v>519.2</v>
      </c>
      <c r="D54" t="n">
        <v>0.7030999999999999</v>
      </c>
    </row>
    <row r="55">
      <c r="A55" t="n">
        <v>272241231</v>
      </c>
      <c r="B55" t="n">
        <v>140224330094</v>
      </c>
      <c r="C55" t="n">
        <v>515.1</v>
      </c>
      <c r="D55" t="n">
        <v>0.7033</v>
      </c>
    </row>
    <row r="56">
      <c r="A56" t="n">
        <v>272583493</v>
      </c>
      <c r="B56" t="n">
        <v>140241399830</v>
      </c>
      <c r="C56" t="n">
        <v>514.5</v>
      </c>
      <c r="D56" t="n">
        <v>0.7035</v>
      </c>
    </row>
    <row r="57">
      <c r="A57" t="n">
        <v>274462364</v>
      </c>
      <c r="B57" t="n">
        <v>140448707284</v>
      </c>
      <c r="C57" t="n">
        <v>511.7</v>
      </c>
      <c r="D57" t="n">
        <v>0.7045</v>
      </c>
    </row>
    <row r="58">
      <c r="A58" t="n">
        <v>274774577</v>
      </c>
      <c r="B58" t="n">
        <v>140834495938</v>
      </c>
      <c r="C58" t="n">
        <v>512.5</v>
      </c>
      <c r="D58" t="n">
        <v>0.7064</v>
      </c>
    </row>
    <row r="59">
      <c r="A59" t="n">
        <v>278742958</v>
      </c>
      <c r="B59" t="n">
        <v>142073533329</v>
      </c>
      <c r="C59" t="n">
        <v>509.7</v>
      </c>
      <c r="D59" t="n">
        <v>0.7126</v>
      </c>
    </row>
    <row r="60">
      <c r="A60" t="n">
        <v>282087788</v>
      </c>
      <c r="B60" t="n">
        <v>142102549983</v>
      </c>
      <c r="C60" t="n">
        <v>503.8</v>
      </c>
      <c r="D60" t="n">
        <v>0.7128</v>
      </c>
    </row>
    <row r="61">
      <c r="A61" t="n">
        <v>283489731</v>
      </c>
      <c r="B61" t="n">
        <v>142768629634</v>
      </c>
      <c r="C61" t="n">
        <v>503.6</v>
      </c>
      <c r="D61" t="n">
        <v>0.7161</v>
      </c>
    </row>
    <row r="62">
      <c r="A62" t="n">
        <v>283608232</v>
      </c>
      <c r="B62" t="n">
        <v>142784712426</v>
      </c>
      <c r="C62" t="n">
        <v>503.5</v>
      </c>
      <c r="D62" t="n">
        <v>0.7161999999999999</v>
      </c>
    </row>
    <row r="63">
      <c r="A63" t="n">
        <v>283729339</v>
      </c>
      <c r="B63" t="n">
        <v>142801078717</v>
      </c>
      <c r="C63" t="n">
        <v>503.3</v>
      </c>
      <c r="D63" t="n">
        <v>0.7161999999999999</v>
      </c>
    </row>
    <row r="64">
      <c r="A64" t="n">
        <v>285956500</v>
      </c>
      <c r="B64" t="n">
        <v>142833572720</v>
      </c>
      <c r="C64" t="n">
        <v>499.5</v>
      </c>
      <c r="D64" t="n">
        <v>0.7164</v>
      </c>
    </row>
    <row r="65">
      <c r="A65" t="n">
        <v>288489847</v>
      </c>
      <c r="B65" t="n">
        <v>143443738564</v>
      </c>
      <c r="C65" t="n">
        <v>497.2</v>
      </c>
      <c r="D65" t="n">
        <v>0.7195</v>
      </c>
    </row>
    <row r="66">
      <c r="A66" t="n">
        <v>291452148</v>
      </c>
      <c r="B66" t="n">
        <v>144157059043</v>
      </c>
      <c r="C66" t="n">
        <v>494.6</v>
      </c>
      <c r="D66" t="n">
        <v>0.7231</v>
      </c>
    </row>
    <row r="67">
      <c r="A67" t="n">
        <v>294397360</v>
      </c>
      <c r="B67" t="n">
        <v>144321237831</v>
      </c>
      <c r="C67" t="n">
        <v>490.2</v>
      </c>
      <c r="D67" t="n">
        <v>0.7239</v>
      </c>
    </row>
    <row r="68">
      <c r="A68" t="n">
        <v>295252730</v>
      </c>
      <c r="B68" t="n">
        <v>144447651132</v>
      </c>
      <c r="C68" t="n">
        <v>489.2</v>
      </c>
      <c r="D68" t="n">
        <v>0.7246</v>
      </c>
    </row>
    <row r="69">
      <c r="A69" t="n">
        <v>295387979</v>
      </c>
      <c r="B69" t="n">
        <v>144465426569</v>
      </c>
      <c r="C69" t="n">
        <v>489.1</v>
      </c>
      <c r="D69" t="n">
        <v>0.7247</v>
      </c>
    </row>
    <row r="70">
      <c r="A70" t="n">
        <v>295525747</v>
      </c>
      <c r="B70" t="n">
        <v>144483361461</v>
      </c>
      <c r="C70" t="n">
        <v>488.9</v>
      </c>
      <c r="D70" t="n">
        <v>0.7248</v>
      </c>
    </row>
    <row r="71">
      <c r="A71" t="n">
        <v>296164012</v>
      </c>
      <c r="B71" t="n">
        <v>145604107614</v>
      </c>
      <c r="C71" t="n">
        <v>491.6</v>
      </c>
      <c r="D71" t="n">
        <v>0.7302999999999999</v>
      </c>
    </row>
    <row r="72">
      <c r="A72" t="n">
        <v>299077573</v>
      </c>
      <c r="B72" t="n">
        <v>145810901742</v>
      </c>
      <c r="C72" t="n">
        <v>487.5</v>
      </c>
      <c r="D72" t="n">
        <v>0.7314000000000001</v>
      </c>
    </row>
    <row r="73">
      <c r="A73" t="n">
        <v>305668307</v>
      </c>
      <c r="B73" t="n">
        <v>147465257767</v>
      </c>
      <c r="C73" t="n">
        <v>482.4</v>
      </c>
      <c r="D73" t="n">
        <v>0.7397</v>
      </c>
    </row>
    <row r="74">
      <c r="A74" t="n">
        <v>311387145</v>
      </c>
      <c r="B74" t="n">
        <v>148029589590</v>
      </c>
      <c r="C74" t="n">
        <v>475.4</v>
      </c>
      <c r="D74" t="n">
        <v>0.7426</v>
      </c>
    </row>
    <row r="75">
      <c r="A75" t="n">
        <v>312242515</v>
      </c>
      <c r="B75" t="n">
        <v>148156002890</v>
      </c>
      <c r="C75" t="n">
        <v>474.5</v>
      </c>
      <c r="D75" t="n">
        <v>0.7432</v>
      </c>
    </row>
    <row r="76">
      <c r="A76" t="n">
        <v>312377764</v>
      </c>
      <c r="B76" t="n">
        <v>148173778328</v>
      </c>
      <c r="C76" t="n">
        <v>474.3</v>
      </c>
      <c r="D76" t="n">
        <v>0.7433</v>
      </c>
    </row>
    <row r="77">
      <c r="A77" t="n">
        <v>312515532</v>
      </c>
      <c r="B77" t="n">
        <v>148191713220</v>
      </c>
      <c r="C77" t="n">
        <v>474.2</v>
      </c>
      <c r="D77" t="n">
        <v>0.7433999999999999</v>
      </c>
    </row>
    <row r="78">
      <c r="A78" t="n">
        <v>313399305</v>
      </c>
      <c r="B78" t="n">
        <v>148320128108</v>
      </c>
      <c r="C78" t="n">
        <v>473.3</v>
      </c>
      <c r="D78" t="n">
        <v>0.744</v>
      </c>
    </row>
    <row r="79">
      <c r="A79" t="n">
        <v>318601346</v>
      </c>
      <c r="B79" t="n">
        <v>148562148853</v>
      </c>
      <c r="C79" t="n">
        <v>466.3</v>
      </c>
      <c r="D79" t="n">
        <v>0.7452</v>
      </c>
    </row>
    <row r="80">
      <c r="A80" t="n">
        <v>326519518</v>
      </c>
      <c r="B80" t="n">
        <v>150607836986</v>
      </c>
      <c r="C80" t="n">
        <v>461.3</v>
      </c>
      <c r="D80" t="n">
        <v>0.7554999999999999</v>
      </c>
    </row>
    <row r="81">
      <c r="A81" t="n">
        <v>335591131</v>
      </c>
      <c r="B81" t="n">
        <v>152270500612</v>
      </c>
      <c r="C81" t="n">
        <v>453.7</v>
      </c>
      <c r="D81" t="n">
        <v>0.7639</v>
      </c>
    </row>
    <row r="82">
      <c r="A82" t="n">
        <v>369500603</v>
      </c>
      <c r="B82" t="n">
        <v>156945483759</v>
      </c>
      <c r="C82" t="n">
        <v>424.8</v>
      </c>
      <c r="D82" t="n">
        <v>0.7873</v>
      </c>
    </row>
    <row r="83">
      <c r="A83" t="n">
        <v>379004898</v>
      </c>
      <c r="B83" t="n">
        <v>158806633912</v>
      </c>
      <c r="C83" t="n">
        <v>419</v>
      </c>
      <c r="D83" t="n">
        <v>0.7967</v>
      </c>
    </row>
    <row r="84">
      <c r="A84" t="n">
        <v>385714355</v>
      </c>
      <c r="B84" t="n">
        <v>159515154474</v>
      </c>
      <c r="C84" t="n">
        <v>413.6</v>
      </c>
      <c r="D84" t="n">
        <v>0.8002</v>
      </c>
    </row>
    <row r="85">
      <c r="A85" t="n">
        <v>417519067</v>
      </c>
      <c r="B85" t="n">
        <v>161039971809</v>
      </c>
      <c r="C85" t="n">
        <v>385.7</v>
      </c>
      <c r="D85" t="n">
        <v>0.8076</v>
      </c>
    </row>
    <row r="86">
      <c r="A86" t="n">
        <v>421015838</v>
      </c>
      <c r="B86" t="n">
        <v>161910505643</v>
      </c>
      <c r="C86" t="n">
        <v>384.6</v>
      </c>
      <c r="D86" t="n">
        <v>0.8123</v>
      </c>
    </row>
    <row r="87">
      <c r="A87" t="n">
        <v>427023361</v>
      </c>
      <c r="B87" t="n">
        <v>162901121962</v>
      </c>
      <c r="C87" t="n">
        <v>381.5</v>
      </c>
      <c r="D87" t="n">
        <v>0.8169999999999999</v>
      </c>
    </row>
    <row r="88">
      <c r="A88" t="n">
        <v>444013146</v>
      </c>
      <c r="B88" t="n">
        <v>166609473721</v>
      </c>
      <c r="C88" t="n">
        <v>375.2</v>
      </c>
      <c r="D88" t="n">
        <v>0.8356</v>
      </c>
    </row>
    <row r="89">
      <c r="A89" t="n">
        <v>479314629</v>
      </c>
      <c r="B89" t="n">
        <v>169004824890</v>
      </c>
      <c r="C89" t="n">
        <v>352.6</v>
      </c>
      <c r="D89" t="n">
        <v>0.8476</v>
      </c>
    </row>
    <row r="90">
      <c r="A90" t="n">
        <v>481929576</v>
      </c>
      <c r="B90" t="n">
        <v>170177891765</v>
      </c>
      <c r="C90" t="n">
        <v>353.1</v>
      </c>
      <c r="D90" t="n">
        <v>0.8535</v>
      </c>
    </row>
    <row r="91">
      <c r="A91" t="n">
        <v>489475697</v>
      </c>
      <c r="B91" t="n">
        <v>171534346431</v>
      </c>
      <c r="C91" t="n">
        <v>350.4</v>
      </c>
      <c r="D91" t="n">
        <v>0.8603</v>
      </c>
    </row>
    <row r="92">
      <c r="A92" t="n">
        <v>501135985</v>
      </c>
      <c r="B92" t="n">
        <v>175381179151</v>
      </c>
      <c r="C92" t="n">
        <v>350</v>
      </c>
      <c r="D92" t="n">
        <v>0.8796</v>
      </c>
    </row>
    <row r="93">
      <c r="A93" t="n">
        <v>510640280</v>
      </c>
      <c r="B93" t="n">
        <v>177242329304</v>
      </c>
      <c r="C93" t="n">
        <v>347.1</v>
      </c>
      <c r="D93" t="n">
        <v>0.889</v>
      </c>
    </row>
    <row r="94">
      <c r="A94" t="n">
        <v>517349737</v>
      </c>
      <c r="B94" t="n">
        <v>177950849866</v>
      </c>
      <c r="C94" t="n">
        <v>344</v>
      </c>
      <c r="D94" t="n">
        <v>0.8925999999999999</v>
      </c>
    </row>
    <row r="95">
      <c r="A95" t="n">
        <v>535975752</v>
      </c>
      <c r="B95" t="n">
        <v>178411751519</v>
      </c>
      <c r="C95" t="n">
        <v>332.9</v>
      </c>
      <c r="D95" t="n">
        <v>0.8949</v>
      </c>
    </row>
    <row r="96">
      <c r="A96" t="n">
        <v>539218079</v>
      </c>
      <c r="B96" t="n">
        <v>180143531389</v>
      </c>
      <c r="C96" t="n">
        <v>334.1</v>
      </c>
      <c r="D96" t="n">
        <v>0.9036</v>
      </c>
    </row>
    <row r="97">
      <c r="A97" t="n">
        <v>551431104</v>
      </c>
      <c r="B97" t="n">
        <v>180237578832</v>
      </c>
      <c r="C97" t="n">
        <v>326.9</v>
      </c>
      <c r="D97" t="n">
        <v>0.9041</v>
      </c>
    </row>
    <row r="98">
      <c r="A98" t="n">
        <v>552485769</v>
      </c>
      <c r="B98" t="n">
        <v>180332995234</v>
      </c>
      <c r="C98" t="n">
        <v>326.4</v>
      </c>
      <c r="D98" t="n">
        <v>0.9045</v>
      </c>
    </row>
    <row r="99">
      <c r="A99" t="n">
        <v>552651220</v>
      </c>
      <c r="B99" t="n">
        <v>180346201035</v>
      </c>
      <c r="C99" t="n">
        <v>326.3</v>
      </c>
      <c r="D99" t="n">
        <v>0.9046</v>
      </c>
    </row>
    <row r="100">
      <c r="A100" t="n">
        <v>552816360</v>
      </c>
      <c r="B100" t="n">
        <v>180358988177</v>
      </c>
      <c r="C100" t="n">
        <v>326.3</v>
      </c>
      <c r="D100" t="n">
        <v>0.9046999999999999</v>
      </c>
    </row>
    <row r="101">
      <c r="A101" t="n">
        <v>553867519</v>
      </c>
      <c r="B101" t="n">
        <v>180449146842</v>
      </c>
      <c r="C101" t="n">
        <v>325.8</v>
      </c>
      <c r="D101" t="n">
        <v>0.9051</v>
      </c>
    </row>
    <row r="102">
      <c r="A102" t="n">
        <v>565821507</v>
      </c>
      <c r="B102" t="n">
        <v>181477388259</v>
      </c>
      <c r="C102" t="n">
        <v>320.7</v>
      </c>
      <c r="D102" t="n">
        <v>0.9103</v>
      </c>
    </row>
    <row r="103">
      <c r="A103" t="n">
        <v>569275136</v>
      </c>
      <c r="B103" t="n">
        <v>182096817898</v>
      </c>
      <c r="C103" t="n">
        <v>319.9</v>
      </c>
      <c r="D103" t="n">
        <v>0.9134</v>
      </c>
    </row>
    <row r="104">
      <c r="A104" t="n">
        <v>577891529</v>
      </c>
      <c r="B104" t="n">
        <v>183119924178</v>
      </c>
      <c r="C104" t="n">
        <v>316.9</v>
      </c>
      <c r="D104" t="n">
        <v>0.9185</v>
      </c>
    </row>
    <row r="105">
      <c r="A105" t="n">
        <v>609712834</v>
      </c>
      <c r="B105" t="n">
        <v>185240939938</v>
      </c>
      <c r="C105" t="n">
        <v>303.8</v>
      </c>
      <c r="D105" t="n">
        <v>0.9292</v>
      </c>
    </row>
    <row r="106">
      <c r="A106" t="n">
        <v>619217128</v>
      </c>
      <c r="B106" t="n">
        <v>187102090091</v>
      </c>
      <c r="C106" t="n">
        <v>302.2</v>
      </c>
      <c r="D106" t="n">
        <v>0.9385</v>
      </c>
    </row>
    <row r="107">
      <c r="A107" t="n">
        <v>625926586</v>
      </c>
      <c r="B107" t="n">
        <v>187810610653</v>
      </c>
      <c r="C107" t="n">
        <v>300.1</v>
      </c>
      <c r="D107" t="n">
        <v>0.9421</v>
      </c>
    </row>
    <row r="108">
      <c r="A108" t="n">
        <v>635552951</v>
      </c>
      <c r="B108" t="n">
        <v>187839342329</v>
      </c>
      <c r="C108" t="n">
        <v>295.6</v>
      </c>
      <c r="D108" t="n">
        <v>0.9422</v>
      </c>
    </row>
    <row r="109">
      <c r="A109" t="n">
        <v>639254857</v>
      </c>
      <c r="B109" t="n">
        <v>187842975760</v>
      </c>
      <c r="C109" t="n">
        <v>293.8</v>
      </c>
      <c r="D109" t="n">
        <v>0.9422</v>
      </c>
    </row>
    <row r="110">
      <c r="A110" t="n">
        <v>639359727</v>
      </c>
      <c r="B110" t="n">
        <v>188013280298</v>
      </c>
      <c r="C110" t="n">
        <v>294.1</v>
      </c>
      <c r="D110" t="n">
        <v>0.9431</v>
      </c>
    </row>
    <row r="111">
      <c r="A111" t="n">
        <v>640793664</v>
      </c>
      <c r="B111" t="n">
        <v>188153386789</v>
      </c>
      <c r="C111" t="n">
        <v>293.6</v>
      </c>
      <c r="D111" t="n">
        <v>0.9438</v>
      </c>
    </row>
    <row r="112">
      <c r="A112" t="n">
        <v>641848329</v>
      </c>
      <c r="B112" t="n">
        <v>188248803190</v>
      </c>
      <c r="C112" t="n">
        <v>293.3</v>
      </c>
      <c r="D112" t="n">
        <v>0.9443</v>
      </c>
    </row>
    <row r="113">
      <c r="A113" t="n">
        <v>642013780</v>
      </c>
      <c r="B113" t="n">
        <v>188262008991</v>
      </c>
      <c r="C113" t="n">
        <v>293.2</v>
      </c>
      <c r="D113" t="n">
        <v>0.9443</v>
      </c>
    </row>
    <row r="114">
      <c r="A114" t="n">
        <v>642178919</v>
      </c>
      <c r="B114" t="n">
        <v>188274796133</v>
      </c>
      <c r="C114" t="n">
        <v>293.2</v>
      </c>
      <c r="D114" t="n">
        <v>0.9444</v>
      </c>
    </row>
    <row r="115">
      <c r="A115" t="n">
        <v>643230079</v>
      </c>
      <c r="B115" t="n">
        <v>188364954798</v>
      </c>
      <c r="C115" t="n">
        <v>292.8</v>
      </c>
      <c r="D115" t="n">
        <v>0.9449</v>
      </c>
    </row>
    <row r="116">
      <c r="A116" t="n">
        <v>647503122</v>
      </c>
      <c r="B116" t="n">
        <v>188861907350</v>
      </c>
      <c r="C116" t="n">
        <v>291.7</v>
      </c>
      <c r="D116" t="n">
        <v>0.9474</v>
      </c>
    </row>
    <row r="117">
      <c r="A117" t="n">
        <v>648557787</v>
      </c>
      <c r="B117" t="n">
        <v>188957323752</v>
      </c>
      <c r="C117" t="n">
        <v>291.4</v>
      </c>
      <c r="D117" t="n">
        <v>0.9479</v>
      </c>
    </row>
    <row r="118">
      <c r="A118" t="n">
        <v>648723238</v>
      </c>
      <c r="B118" t="n">
        <v>188970529553</v>
      </c>
      <c r="C118" t="n">
        <v>291.3</v>
      </c>
      <c r="D118" t="n">
        <v>0.9479</v>
      </c>
    </row>
    <row r="119">
      <c r="A119" t="n">
        <v>648888377</v>
      </c>
      <c r="B119" t="n">
        <v>188983316695</v>
      </c>
      <c r="C119" t="n">
        <v>291.2</v>
      </c>
      <c r="D119" t="n">
        <v>0.948</v>
      </c>
    </row>
    <row r="120">
      <c r="A120" t="n">
        <v>649939536</v>
      </c>
      <c r="B120" t="n">
        <v>189073475360</v>
      </c>
      <c r="C120" t="n">
        <v>290.9</v>
      </c>
      <c r="D120" t="n">
        <v>0.9484</v>
      </c>
    </row>
    <row r="121">
      <c r="A121" t="n">
        <v>658637696</v>
      </c>
      <c r="B121" t="n">
        <v>190012625854</v>
      </c>
      <c r="C121" t="n">
        <v>288.5</v>
      </c>
      <c r="D121" t="n">
        <v>0.9530999999999999</v>
      </c>
    </row>
    <row r="122">
      <c r="A122" t="n">
        <v>665347154</v>
      </c>
      <c r="B122" t="n">
        <v>190721146416</v>
      </c>
      <c r="C122" t="n">
        <v>286.6</v>
      </c>
      <c r="D122" t="n">
        <v>0.9567</v>
      </c>
    </row>
    <row r="123">
      <c r="A123" t="n">
        <v>678780295</v>
      </c>
      <c r="B123" t="n">
        <v>190923816062</v>
      </c>
      <c r="C123" t="n">
        <v>281.3</v>
      </c>
      <c r="D123" t="n">
        <v>0.9577</v>
      </c>
    </row>
    <row r="124">
      <c r="A124" t="n">
        <v>749791564</v>
      </c>
      <c r="B124" t="n">
        <v>190972394692</v>
      </c>
      <c r="C124" t="n">
        <v>254.7</v>
      </c>
      <c r="D124" t="n">
        <v>0.958</v>
      </c>
    </row>
    <row r="125">
      <c r="A125" t="n">
        <v>756501022</v>
      </c>
      <c r="B125" t="n">
        <v>191680915253</v>
      </c>
      <c r="C125" t="n">
        <v>253.4</v>
      </c>
      <c r="D125" t="n">
        <v>0.9615</v>
      </c>
    </row>
    <row r="126">
      <c r="A126" t="n">
        <v>769934163</v>
      </c>
      <c r="B126" t="n">
        <v>191883584899</v>
      </c>
      <c r="C126" t="n">
        <v>249.2</v>
      </c>
      <c r="D126" t="n">
        <v>0.9625</v>
      </c>
    </row>
    <row r="127">
      <c r="A127" t="n">
        <v>776494259</v>
      </c>
      <c r="B127" t="n">
        <v>192257449912</v>
      </c>
      <c r="C127" t="n">
        <v>247.6</v>
      </c>
      <c r="D127" t="n">
        <v>0.9643</v>
      </c>
    </row>
    <row r="128">
      <c r="A128" t="n">
        <v>780049650</v>
      </c>
      <c r="B128" t="n">
        <v>196798800285</v>
      </c>
      <c r="C128" t="n">
        <v>252.3</v>
      </c>
      <c r="D128" t="n">
        <v>0.9871</v>
      </c>
    </row>
    <row r="129">
      <c r="A129" t="n">
        <v>789553944</v>
      </c>
      <c r="B129" t="n">
        <v>198659950438</v>
      </c>
      <c r="C129" t="n">
        <v>251.6</v>
      </c>
      <c r="D129" t="n">
        <v>0.9964</v>
      </c>
    </row>
    <row r="130">
      <c r="A130" t="n">
        <v>796263402</v>
      </c>
      <c r="B130" t="n">
        <v>199368471000</v>
      </c>
      <c r="C130" t="n">
        <v>250.4</v>
      </c>
      <c r="D130" t="n">
        <v>1</v>
      </c>
    </row>
    <row r="131">
      <c r="A131" t="n">
        <v>809696543</v>
      </c>
      <c r="B131" t="n">
        <v>199571140646</v>
      </c>
      <c r="C131" t="n">
        <v>246.5</v>
      </c>
      <c r="D131" t="n">
        <v>1.001</v>
      </c>
    </row>
    <row r="132">
      <c r="A132" t="n">
        <v>897331728</v>
      </c>
      <c r="B132" t="n">
        <v>201370336139</v>
      </c>
      <c r="C132" t="n">
        <v>224.4</v>
      </c>
      <c r="D132" t="n">
        <v>1.01</v>
      </c>
    </row>
    <row r="133">
      <c r="A133" t="n">
        <v>904041186</v>
      </c>
      <c r="B133" t="n">
        <v>202078856700</v>
      </c>
      <c r="C133" t="n">
        <v>223.5</v>
      </c>
      <c r="D133" t="n">
        <v>1.0136</v>
      </c>
    </row>
    <row r="134">
      <c r="A134" t="n">
        <v>917474327</v>
      </c>
      <c r="B134" t="n">
        <v>202281526346</v>
      </c>
      <c r="C134" t="n">
        <v>220.5</v>
      </c>
      <c r="D134" t="n">
        <v>1.0146</v>
      </c>
    </row>
    <row r="135">
      <c r="A135" t="n">
        <v>939010743</v>
      </c>
      <c r="B135" t="n">
        <v>202356595348</v>
      </c>
      <c r="C135" t="n">
        <v>215.5</v>
      </c>
      <c r="D135" t="n">
        <v>1.015</v>
      </c>
    </row>
    <row r="136">
      <c r="A136" t="n">
        <v>1026645929</v>
      </c>
      <c r="B136" t="n">
        <v>204155790841</v>
      </c>
      <c r="C136" t="n">
        <v>198.9</v>
      </c>
      <c r="D136" t="n">
        <v>1.024</v>
      </c>
    </row>
    <row r="137">
      <c r="A137" t="n">
        <v>1033355386</v>
      </c>
      <c r="B137" t="n">
        <v>204864311403</v>
      </c>
      <c r="C137" t="n">
        <v>198.3</v>
      </c>
      <c r="D137" t="n">
        <v>1.0276</v>
      </c>
    </row>
    <row r="138">
      <c r="A138" t="n">
        <v>1046788527</v>
      </c>
      <c r="B138" t="n">
        <v>205066981049</v>
      </c>
      <c r="C138" t="n">
        <v>195.9</v>
      </c>
      <c r="D138" t="n">
        <v>1.0286</v>
      </c>
    </row>
    <row r="139">
      <c r="A139" t="n">
        <v>1126341364</v>
      </c>
      <c r="B139" t="n">
        <v>205927253572</v>
      </c>
      <c r="C139" t="n">
        <v>182.8</v>
      </c>
      <c r="D139" t="n">
        <v>1.0329</v>
      </c>
    </row>
    <row r="140">
      <c r="A140" t="n">
        <v>1131103073</v>
      </c>
      <c r="B140" t="n">
        <v>206387814260</v>
      </c>
      <c r="C140" t="n">
        <v>182.5</v>
      </c>
      <c r="D140" t="n">
        <v>1.0352</v>
      </c>
    </row>
    <row r="141">
      <c r="A141" t="n">
        <v>1140636589</v>
      </c>
      <c r="B141" t="n">
        <v>206519555915</v>
      </c>
      <c r="C141" t="n">
        <v>181.1</v>
      </c>
      <c r="D141" t="n">
        <v>1.0359</v>
      </c>
    </row>
    <row r="142">
      <c r="A142" t="n">
        <v>1209704198</v>
      </c>
      <c r="B142" t="n">
        <v>207131404782</v>
      </c>
      <c r="C142" t="n">
        <v>171.2</v>
      </c>
      <c r="D142" t="n">
        <v>1.0389</v>
      </c>
    </row>
    <row r="143">
      <c r="A143" t="n">
        <v>1214465907</v>
      </c>
      <c r="B143" t="n">
        <v>207591965469</v>
      </c>
      <c r="C143" t="n">
        <v>170.9</v>
      </c>
      <c r="D143" t="n">
        <v>1.0413</v>
      </c>
    </row>
    <row r="144">
      <c r="A144" t="n">
        <v>1223999423</v>
      </c>
      <c r="B144" t="n">
        <v>207723707124</v>
      </c>
      <c r="C144" t="n">
        <v>169.7</v>
      </c>
      <c r="D144" t="n">
        <v>1.0419</v>
      </c>
    </row>
    <row r="145">
      <c r="A145" t="n">
        <v>1356407714</v>
      </c>
      <c r="B145" t="n">
        <v>207856500229</v>
      </c>
      <c r="C145" t="n">
        <v>153.2</v>
      </c>
      <c r="D145" t="n">
        <v>1.0426</v>
      </c>
    </row>
    <row r="146">
      <c r="A146" t="n">
        <v>1361169424</v>
      </c>
      <c r="B146" t="n">
        <v>208317060917</v>
      </c>
      <c r="C146" t="n">
        <v>153</v>
      </c>
      <c r="D146" t="n">
        <v>1.0449</v>
      </c>
    </row>
    <row r="147">
      <c r="A147" t="n">
        <v>1370702939</v>
      </c>
      <c r="B147" t="n">
        <v>208448802572</v>
      </c>
      <c r="C147" t="n">
        <v>152.1</v>
      </c>
      <c r="D147" t="n">
        <v>1.0455</v>
      </c>
    </row>
    <row r="148">
      <c r="A148" t="n">
        <v>1439770548</v>
      </c>
      <c r="B148" t="n">
        <v>209060651439</v>
      </c>
      <c r="C148" t="n">
        <v>145.2</v>
      </c>
      <c r="D148" t="n">
        <v>1.0486</v>
      </c>
    </row>
    <row r="149">
      <c r="A149" t="n">
        <v>1444532258</v>
      </c>
      <c r="B149" t="n">
        <v>209521212126</v>
      </c>
      <c r="C149" t="n">
        <v>145</v>
      </c>
      <c r="D149" t="n">
        <v>1.0509</v>
      </c>
    </row>
    <row r="150">
      <c r="A150" t="n">
        <v>1454065773</v>
      </c>
      <c r="B150" t="n">
        <v>209652953782</v>
      </c>
      <c r="C150" t="n">
        <v>144.2</v>
      </c>
      <c r="D150" t="n">
        <v>1.0516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2026-07-31T01:17:51Z</dcterms:created>
  <dcterms:modified xsi:type="dcterms:W3CDTF">2026-07-31T01:17:51Z</dcterms:modified>
</cp:coreProperties>
</file>