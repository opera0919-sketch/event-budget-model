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셋요약" sheetId="1" state="visible" r:id="rId1"/>
    <sheet name="케이스비교" sheetId="2" state="visible" r:id="rId2"/>
    <sheet name="목표별최적안" sheetId="3" state="visible" r:id="rId3"/>
    <sheet name="예산집행표" sheetId="4" state="visible" r:id="rId4"/>
    <sheet name="Pareto" sheetId="5" state="visible" r:id="rId5"/>
    <sheet name="Pareto차트(PNG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C6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예산 vs 유치 이전금액 (Pareto Frontier)</a:t>
            </a:r>
          </a:p>
        </rich>
      </tx>
    </title>
    <plotArea>
      <scatterChart>
        <ser>
          <idx val="0"/>
          <order val="0"/>
          <tx>
            <strRef>
              <f>'Pareto'!B1</f>
            </strRef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'Pareto'!$A$2:$A$131</f>
            </numRef>
          </xVal>
          <yVal>
            <numRef>
              <f>'Pareto'!$B$2:$B$131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예산(원)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유치 이전금액(원)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144250" cy="742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1" customWidth="1" min="6" max="6"/>
  </cols>
  <sheetData>
    <row r="1">
      <c r="A1" s="1" t="inlineStr">
        <is>
          <t>회차</t>
        </is>
      </c>
      <c r="B1" s="1" t="inlineStr">
        <is>
          <t>시나리오</t>
        </is>
      </c>
      <c r="C1" s="1" t="inlineStr">
        <is>
          <t>신청자수</t>
        </is>
      </c>
      <c r="D1" s="1" t="inlineStr">
        <is>
          <t>수령자수</t>
        </is>
      </c>
      <c r="E1" s="1" t="inlineStr">
        <is>
          <t>이전금액합</t>
        </is>
      </c>
      <c r="F1" s="1" t="inlineStr">
        <is>
          <t>현행혜택합</t>
        </is>
      </c>
    </row>
    <row r="2">
      <c r="A2" t="n">
        <v>0</v>
      </c>
      <c r="B2" t="inlineStr">
        <is>
          <t>hit</t>
        </is>
      </c>
      <c r="C2" t="n">
        <v>4797</v>
      </c>
      <c r="D2" t="n">
        <v>4284</v>
      </c>
      <c r="E2" t="n">
        <v>209257320000</v>
      </c>
      <c r="F2" t="n">
        <v>657160000</v>
      </c>
    </row>
    <row r="3">
      <c r="A3" t="n">
        <v>1</v>
      </c>
      <c r="B3" t="inlineStr">
        <is>
          <t>hit</t>
        </is>
      </c>
      <c r="C3" t="n">
        <v>4773</v>
      </c>
      <c r="D3" t="n">
        <v>4327</v>
      </c>
      <c r="E3" t="n">
        <v>215502530000</v>
      </c>
      <c r="F3" t="n">
        <v>677920000</v>
      </c>
    </row>
    <row r="4">
      <c r="A4" t="n">
        <v>2</v>
      </c>
      <c r="B4" t="inlineStr">
        <is>
          <t>hit</t>
        </is>
      </c>
      <c r="C4" t="n">
        <v>4783</v>
      </c>
      <c r="D4" t="n">
        <v>4259</v>
      </c>
      <c r="E4" t="n">
        <v>209719250000</v>
      </c>
      <c r="F4" t="n">
        <v>658940000</v>
      </c>
    </row>
    <row r="5">
      <c r="A5" t="n">
        <v>3</v>
      </c>
      <c r="B5" t="inlineStr">
        <is>
          <t>hit</t>
        </is>
      </c>
      <c r="C5" t="n">
        <v>4845</v>
      </c>
      <c r="D5" t="n">
        <v>4357</v>
      </c>
      <c r="E5" t="n">
        <v>218943910000</v>
      </c>
      <c r="F5" t="n">
        <v>688230000</v>
      </c>
    </row>
    <row r="6">
      <c r="A6" t="n">
        <v>4</v>
      </c>
      <c r="B6" t="inlineStr">
        <is>
          <t>hit</t>
        </is>
      </c>
      <c r="C6" t="n">
        <v>4964</v>
      </c>
      <c r="D6" t="n">
        <v>4517</v>
      </c>
      <c r="E6" t="n">
        <v>228199060000</v>
      </c>
      <c r="F6" t="n">
        <v>714600000</v>
      </c>
    </row>
    <row r="7">
      <c r="A7" t="n">
        <v>5</v>
      </c>
      <c r="B7" t="inlineStr">
        <is>
          <t>hit</t>
        </is>
      </c>
      <c r="C7" t="n">
        <v>4779</v>
      </c>
      <c r="D7" t="n">
        <v>4259</v>
      </c>
      <c r="E7" t="n">
        <v>210481550000</v>
      </c>
      <c r="F7" t="n">
        <v>656900000</v>
      </c>
    </row>
    <row r="8">
      <c r="A8" t="n">
        <v>6</v>
      </c>
      <c r="B8" t="inlineStr">
        <is>
          <t>hit</t>
        </is>
      </c>
      <c r="C8" t="n">
        <v>4838</v>
      </c>
      <c r="D8" t="n">
        <v>4297</v>
      </c>
      <c r="E8" t="n">
        <v>218939800000</v>
      </c>
      <c r="F8" t="n">
        <v>690220000</v>
      </c>
    </row>
    <row r="9">
      <c r="A9" t="n">
        <v>7</v>
      </c>
      <c r="B9" t="inlineStr">
        <is>
          <t>hit</t>
        </is>
      </c>
      <c r="C9" t="n">
        <v>4890</v>
      </c>
      <c r="D9" t="n">
        <v>4348</v>
      </c>
      <c r="E9" t="n">
        <v>210495240000</v>
      </c>
      <c r="F9" t="n">
        <v>663520000</v>
      </c>
    </row>
    <row r="10">
      <c r="A10" t="n">
        <v>8</v>
      </c>
      <c r="B10" t="inlineStr">
        <is>
          <t>hit</t>
        </is>
      </c>
      <c r="C10" t="n">
        <v>4829</v>
      </c>
      <c r="D10" t="n">
        <v>4326</v>
      </c>
      <c r="E10" t="n">
        <v>220419330000</v>
      </c>
      <c r="F10" t="n">
        <v>692040000</v>
      </c>
    </row>
    <row r="11">
      <c r="A11" t="n">
        <v>9</v>
      </c>
      <c r="B11" t="inlineStr">
        <is>
          <t>hit</t>
        </is>
      </c>
      <c r="C11" t="n">
        <v>4828</v>
      </c>
      <c r="D11" t="n">
        <v>4369</v>
      </c>
      <c r="E11" t="n">
        <v>220246460000</v>
      </c>
      <c r="F11" t="n">
        <v>693100000</v>
      </c>
    </row>
    <row r="12">
      <c r="A12" t="n">
        <v>10</v>
      </c>
      <c r="B12" t="inlineStr">
        <is>
          <t>hit</t>
        </is>
      </c>
      <c r="C12" t="n">
        <v>4941</v>
      </c>
      <c r="D12" t="n">
        <v>4391</v>
      </c>
      <c r="E12" t="n">
        <v>219256480000</v>
      </c>
      <c r="F12" t="n">
        <v>688610000</v>
      </c>
    </row>
    <row r="13">
      <c r="A13" t="n">
        <v>11</v>
      </c>
      <c r="B13" t="inlineStr">
        <is>
          <t>hit</t>
        </is>
      </c>
      <c r="C13" t="n">
        <v>4863</v>
      </c>
      <c r="D13" t="n">
        <v>4302</v>
      </c>
      <c r="E13" t="n">
        <v>218959600000</v>
      </c>
      <c r="F13" t="n">
        <v>688930000</v>
      </c>
    </row>
    <row r="14">
      <c r="A14" t="n">
        <v>12</v>
      </c>
      <c r="B14" t="inlineStr">
        <is>
          <t>hit</t>
        </is>
      </c>
      <c r="C14" t="n">
        <v>4829</v>
      </c>
      <c r="D14" t="n">
        <v>4360</v>
      </c>
      <c r="E14" t="n">
        <v>216478140000</v>
      </c>
      <c r="F14" t="n">
        <v>680240000</v>
      </c>
    </row>
    <row r="15">
      <c r="A15" t="n">
        <v>13</v>
      </c>
      <c r="B15" t="inlineStr">
        <is>
          <t>hit</t>
        </is>
      </c>
      <c r="C15" t="n">
        <v>4796</v>
      </c>
      <c r="D15" t="n">
        <v>4290</v>
      </c>
      <c r="E15" t="n">
        <v>218109470000</v>
      </c>
      <c r="F15" t="n">
        <v>688800000</v>
      </c>
    </row>
    <row r="16">
      <c r="A16" t="n">
        <v>14</v>
      </c>
      <c r="B16" t="inlineStr">
        <is>
          <t>hit</t>
        </is>
      </c>
      <c r="C16" t="n">
        <v>4781</v>
      </c>
      <c r="D16" t="n">
        <v>4248</v>
      </c>
      <c r="E16" t="n">
        <v>211064080000</v>
      </c>
      <c r="F16" t="n">
        <v>663430000</v>
      </c>
    </row>
    <row r="17">
      <c r="A17" t="n">
        <v>15</v>
      </c>
      <c r="B17" t="inlineStr">
        <is>
          <t>flop</t>
        </is>
      </c>
      <c r="C17" t="n">
        <v>4174</v>
      </c>
      <c r="D17" t="n">
        <v>3737</v>
      </c>
      <c r="E17" t="n">
        <v>183571690000</v>
      </c>
      <c r="F17" t="n">
        <v>575600000</v>
      </c>
    </row>
    <row r="18">
      <c r="A18" t="n">
        <v>16</v>
      </c>
      <c r="B18" t="inlineStr">
        <is>
          <t>flop</t>
        </is>
      </c>
      <c r="C18" t="n">
        <v>4127</v>
      </c>
      <c r="D18" t="n">
        <v>3696</v>
      </c>
      <c r="E18" t="n">
        <v>179259130000</v>
      </c>
      <c r="F18" t="n">
        <v>560840000</v>
      </c>
    </row>
    <row r="19">
      <c r="A19" t="n">
        <v>17</v>
      </c>
      <c r="B19" t="inlineStr">
        <is>
          <t>flop</t>
        </is>
      </c>
      <c r="C19" t="n">
        <v>4067</v>
      </c>
      <c r="D19" t="n">
        <v>3685</v>
      </c>
      <c r="E19" t="n">
        <v>176335250000</v>
      </c>
      <c r="F19" t="n">
        <v>556870000</v>
      </c>
    </row>
    <row r="20">
      <c r="A20" t="n">
        <v>18</v>
      </c>
      <c r="B20" t="inlineStr">
        <is>
          <t>flop</t>
        </is>
      </c>
      <c r="C20" t="n">
        <v>4209</v>
      </c>
      <c r="D20" t="n">
        <v>3727</v>
      </c>
      <c r="E20" t="n">
        <v>182326340000</v>
      </c>
      <c r="F20" t="n">
        <v>573090000</v>
      </c>
    </row>
    <row r="21">
      <c r="A21" t="n">
        <v>19</v>
      </c>
      <c r="B21" t="inlineStr">
        <is>
          <t>flop</t>
        </is>
      </c>
      <c r="C21" t="n">
        <v>4265</v>
      </c>
      <c r="D21" t="n">
        <v>3778</v>
      </c>
      <c r="E21" t="n">
        <v>184728680000</v>
      </c>
      <c r="F21" t="n">
        <v>582460000</v>
      </c>
    </row>
    <row r="22">
      <c r="A22" t="n">
        <v>20</v>
      </c>
      <c r="B22" t="inlineStr">
        <is>
          <t>flop</t>
        </is>
      </c>
      <c r="C22" t="n">
        <v>4006</v>
      </c>
      <c r="D22" t="n">
        <v>3585</v>
      </c>
      <c r="E22" t="n">
        <v>175543020000</v>
      </c>
      <c r="F22" t="n">
        <v>551880000</v>
      </c>
    </row>
    <row r="23">
      <c r="A23" t="n">
        <v>21</v>
      </c>
      <c r="B23" t="inlineStr">
        <is>
          <t>flop</t>
        </is>
      </c>
      <c r="C23" t="n">
        <v>4082</v>
      </c>
      <c r="D23" t="n">
        <v>3686</v>
      </c>
      <c r="E23" t="n">
        <v>183258290000</v>
      </c>
      <c r="F23" t="n">
        <v>572470000</v>
      </c>
    </row>
    <row r="24">
      <c r="A24" t="n">
        <v>22</v>
      </c>
      <c r="B24" t="inlineStr">
        <is>
          <t>flop</t>
        </is>
      </c>
      <c r="C24" t="n">
        <v>4102</v>
      </c>
      <c r="D24" t="n">
        <v>3705</v>
      </c>
      <c r="E24" t="n">
        <v>184363370000</v>
      </c>
      <c r="F24" t="n">
        <v>583000000</v>
      </c>
    </row>
    <row r="25">
      <c r="A25" t="n">
        <v>23</v>
      </c>
      <c r="B25" t="inlineStr">
        <is>
          <t>flop</t>
        </is>
      </c>
      <c r="C25" t="n">
        <v>4100</v>
      </c>
      <c r="D25" t="n">
        <v>3661</v>
      </c>
      <c r="E25" t="n">
        <v>181406970000</v>
      </c>
      <c r="F25" t="n">
        <v>568980000</v>
      </c>
    </row>
    <row r="26">
      <c r="A26" t="n">
        <v>24</v>
      </c>
      <c r="B26" t="inlineStr">
        <is>
          <t>flop</t>
        </is>
      </c>
      <c r="C26" t="n">
        <v>4179</v>
      </c>
      <c r="D26" t="n">
        <v>3756</v>
      </c>
      <c r="E26" t="n">
        <v>189850440000</v>
      </c>
      <c r="F26" t="n">
        <v>599290000</v>
      </c>
    </row>
    <row r="27">
      <c r="A27" t="n">
        <v>25</v>
      </c>
      <c r="B27" t="inlineStr">
        <is>
          <t>flop</t>
        </is>
      </c>
      <c r="C27" t="n">
        <v>4284</v>
      </c>
      <c r="D27" t="n">
        <v>3831</v>
      </c>
      <c r="E27" t="n">
        <v>186461240000</v>
      </c>
      <c r="F27" t="n">
        <v>588930000</v>
      </c>
    </row>
    <row r="28">
      <c r="A28" t="n">
        <v>26</v>
      </c>
      <c r="B28" t="inlineStr">
        <is>
          <t>flop</t>
        </is>
      </c>
      <c r="C28" t="n">
        <v>4112</v>
      </c>
      <c r="D28" t="n">
        <v>3640</v>
      </c>
      <c r="E28" t="n">
        <v>179373930000</v>
      </c>
      <c r="F28" t="n">
        <v>561570000</v>
      </c>
    </row>
    <row r="29">
      <c r="A29" t="n">
        <v>27</v>
      </c>
      <c r="B29" t="inlineStr">
        <is>
          <t>flop</t>
        </is>
      </c>
      <c r="C29" t="n">
        <v>4289</v>
      </c>
      <c r="D29" t="n">
        <v>3851</v>
      </c>
      <c r="E29" t="n">
        <v>186845450000</v>
      </c>
      <c r="F29" t="n">
        <v>584050000</v>
      </c>
    </row>
    <row r="30">
      <c r="A30" t="n">
        <v>28</v>
      </c>
      <c r="B30" t="inlineStr">
        <is>
          <t>flop</t>
        </is>
      </c>
      <c r="C30" t="n">
        <v>4131</v>
      </c>
      <c r="D30" t="n">
        <v>3724</v>
      </c>
      <c r="E30" t="n">
        <v>187230840000</v>
      </c>
      <c r="F30" t="n">
        <v>587100000</v>
      </c>
    </row>
    <row r="31">
      <c r="A31" t="n">
        <v>29</v>
      </c>
      <c r="B31" t="inlineStr">
        <is>
          <t>flop</t>
        </is>
      </c>
      <c r="C31" t="n">
        <v>4007</v>
      </c>
      <c r="D31" t="n">
        <v>3548</v>
      </c>
      <c r="E31" t="n">
        <v>174427270000</v>
      </c>
      <c r="F31" t="n">
        <v>548820000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4" customWidth="1" min="4" max="4"/>
    <col width="13" customWidth="1" min="5" max="5"/>
    <col width="12" customWidth="1" min="6" max="6"/>
    <col width="12" customWidth="1" min="7" max="7"/>
    <col width="14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</cols>
  <sheetData>
    <row r="1">
      <c r="A1" s="1" t="inlineStr">
        <is>
          <t>구조</t>
        </is>
      </c>
      <c r="B1" s="1" t="inlineStr">
        <is>
          <t>예산_평균</t>
        </is>
      </c>
      <c r="C1" s="1" t="inlineStr">
        <is>
          <t>예산_표준편차</t>
        </is>
      </c>
      <c r="D1" s="1" t="inlineStr">
        <is>
          <t>예산_worst(최대)</t>
        </is>
      </c>
      <c r="E1" s="1" t="inlineStr">
        <is>
          <t>예산_best(최소)</t>
        </is>
      </c>
      <c r="F1" s="1" t="inlineStr">
        <is>
          <t>예산_흥행평균</t>
        </is>
      </c>
      <c r="G1" s="1" t="inlineStr">
        <is>
          <t>예산_비흥행평균</t>
        </is>
      </c>
      <c r="H1" s="1" t="inlineStr">
        <is>
          <t>유치이전금액_평균</t>
        </is>
      </c>
      <c r="I1" s="1" t="inlineStr">
        <is>
          <t>리워드지급_평균</t>
        </is>
      </c>
      <c r="J1" s="1" t="inlineStr">
        <is>
          <t>신청자수_평균</t>
        </is>
      </c>
      <c r="K1" s="1" t="inlineStr">
        <is>
          <t>수령자수_평균</t>
        </is>
      </c>
      <c r="L1" s="1" t="inlineStr">
        <is>
          <t>비용률_%</t>
        </is>
      </c>
      <c r="M1" s="1" t="inlineStr">
        <is>
          <t>효율_배</t>
        </is>
      </c>
      <c r="N1" s="1" t="inlineStr">
        <is>
          <t>ROI_%</t>
        </is>
      </c>
      <c r="O1" s="1" t="inlineStr">
        <is>
          <t>CPA</t>
        </is>
      </c>
      <c r="P1" s="1" t="inlineStr">
        <is>
          <t>평균이전금액</t>
        </is>
      </c>
      <c r="Q1" s="1" t="inlineStr">
        <is>
          <t>수령자당평균리워드</t>
        </is>
      </c>
      <c r="R1" s="1" t="inlineStr">
        <is>
          <t>매력도지수_배</t>
        </is>
      </c>
    </row>
    <row r="2">
      <c r="A2" t="inlineStr">
        <is>
          <t>현행</t>
        </is>
      </c>
      <c r="B2" t="n">
        <v>796263402</v>
      </c>
      <c r="C2" t="n">
        <v>71098563</v>
      </c>
      <c r="D2" t="n">
        <v>908730256</v>
      </c>
      <c r="E2" t="n">
        <v>697461026</v>
      </c>
      <c r="F2" t="n">
        <v>864591658</v>
      </c>
      <c r="G2" t="n">
        <v>727935145</v>
      </c>
      <c r="H2" t="n">
        <v>199368471000</v>
      </c>
      <c r="I2" t="n">
        <v>626586333</v>
      </c>
      <c r="J2" t="n">
        <v>4489</v>
      </c>
      <c r="K2" t="n">
        <v>4018</v>
      </c>
      <c r="L2" t="n">
        <v>0.3994</v>
      </c>
      <c r="M2" t="n">
        <v>250.38</v>
      </c>
      <c r="N2" t="n">
        <v>24938</v>
      </c>
      <c r="O2" t="n">
        <v>198167</v>
      </c>
      <c r="P2" t="n">
        <v>44412669</v>
      </c>
      <c r="Q2" t="n">
        <v>155940</v>
      </c>
      <c r="R2" t="n">
        <v>1</v>
      </c>
    </row>
    <row r="3">
      <c r="A3" t="inlineStr">
        <is>
          <t>배수제거</t>
        </is>
      </c>
      <c r="B3" t="n">
        <v>431763026</v>
      </c>
      <c r="C3" t="n">
        <v>39683810</v>
      </c>
      <c r="D3" t="n">
        <v>500013246</v>
      </c>
      <c r="E3" t="n">
        <v>377132088</v>
      </c>
      <c r="F3" t="n">
        <v>469792458</v>
      </c>
      <c r="G3" t="n">
        <v>393733593</v>
      </c>
      <c r="H3" t="n">
        <v>160289647595</v>
      </c>
      <c r="I3" t="n">
        <v>346365986</v>
      </c>
      <c r="J3" t="n">
        <v>3787</v>
      </c>
      <c r="K3" t="n">
        <v>3316</v>
      </c>
      <c r="L3" t="n">
        <v>0.2694</v>
      </c>
      <c r="M3" t="n">
        <v>371.24</v>
      </c>
      <c r="N3" t="n">
        <v>37024.4</v>
      </c>
      <c r="O3" t="n">
        <v>130189</v>
      </c>
      <c r="P3" t="n">
        <v>42322939</v>
      </c>
      <c r="Q3" t="n">
        <v>104439</v>
      </c>
      <c r="R3" t="n">
        <v>0.8038999999999999</v>
      </c>
    </row>
    <row r="4">
      <c r="A4" t="inlineStr">
        <is>
          <t>배수2.0배(단위정합)</t>
        </is>
      </c>
      <c r="B4" t="n">
        <v>1122253479</v>
      </c>
      <c r="C4" t="n">
        <v>102569537</v>
      </c>
      <c r="D4" t="n">
        <v>1299247163</v>
      </c>
      <c r="E4" t="n">
        <v>981712491</v>
      </c>
      <c r="F4" t="n">
        <v>1220704715</v>
      </c>
      <c r="G4" t="n">
        <v>1023802242</v>
      </c>
      <c r="H4" t="n">
        <v>205874327501</v>
      </c>
      <c r="I4" t="n">
        <v>879533422</v>
      </c>
      <c r="J4" t="n">
        <v>4596</v>
      </c>
      <c r="K4" t="n">
        <v>4126</v>
      </c>
      <c r="L4" t="n">
        <v>0.5451</v>
      </c>
      <c r="M4" t="n">
        <v>183.45</v>
      </c>
      <c r="N4" t="n">
        <v>18244.7</v>
      </c>
      <c r="O4" t="n">
        <v>272021</v>
      </c>
      <c r="P4" t="n">
        <v>44789582</v>
      </c>
      <c r="Q4" t="n">
        <v>213189</v>
      </c>
      <c r="R4" t="n">
        <v>1.0326</v>
      </c>
    </row>
    <row r="5">
      <c r="A5" t="inlineStr">
        <is>
          <t>균등하향80%</t>
        </is>
      </c>
      <c r="B5" t="n">
        <v>563321326</v>
      </c>
      <c r="C5" t="n">
        <v>51475946</v>
      </c>
      <c r="D5" t="n">
        <v>643601478</v>
      </c>
      <c r="E5" t="n">
        <v>490260673</v>
      </c>
      <c r="F5" t="n">
        <v>612784325</v>
      </c>
      <c r="G5" t="n">
        <v>513858327</v>
      </c>
      <c r="H5" t="n">
        <v>181259295173</v>
      </c>
      <c r="I5" t="n">
        <v>443415433</v>
      </c>
      <c r="J5" t="n">
        <v>4115</v>
      </c>
      <c r="K5" t="n">
        <v>3644</v>
      </c>
      <c r="L5" t="n">
        <v>0.3108</v>
      </c>
      <c r="M5" t="n">
        <v>321.77</v>
      </c>
      <c r="N5" t="n">
        <v>32076.9</v>
      </c>
      <c r="O5" t="n">
        <v>154601</v>
      </c>
      <c r="P5" t="n">
        <v>44052833</v>
      </c>
      <c r="Q5" t="n">
        <v>121693</v>
      </c>
      <c r="R5" t="n">
        <v>0.9091</v>
      </c>
    </row>
    <row r="6">
      <c r="A6" t="inlineStr">
        <is>
          <t>균등하향70%</t>
        </is>
      </c>
      <c r="B6" t="n">
        <v>442291811</v>
      </c>
      <c r="C6" t="n">
        <v>39474952</v>
      </c>
      <c r="D6" t="n">
        <v>504617344</v>
      </c>
      <c r="E6" t="n">
        <v>387482632</v>
      </c>
      <c r="F6" t="n">
        <v>480167540</v>
      </c>
      <c r="G6" t="n">
        <v>404416081</v>
      </c>
      <c r="H6" t="n">
        <v>168735912960</v>
      </c>
      <c r="I6" t="n">
        <v>354433976</v>
      </c>
      <c r="J6" t="n">
        <v>3862</v>
      </c>
      <c r="K6" t="n">
        <v>3392</v>
      </c>
      <c r="L6" t="n">
        <v>0.2621</v>
      </c>
      <c r="M6" t="n">
        <v>381.5</v>
      </c>
      <c r="N6" t="n">
        <v>38050.4</v>
      </c>
      <c r="O6" t="n">
        <v>130409</v>
      </c>
      <c r="P6" t="n">
        <v>43686312</v>
      </c>
      <c r="Q6" t="n">
        <v>104504</v>
      </c>
      <c r="R6" t="n">
        <v>0.8464</v>
      </c>
    </row>
    <row r="7">
      <c r="A7" t="inlineStr">
        <is>
          <t>상위축소</t>
        </is>
      </c>
      <c r="B7" t="n">
        <v>473628533</v>
      </c>
      <c r="C7" t="n">
        <v>41786622</v>
      </c>
      <c r="D7" t="n">
        <v>539598122</v>
      </c>
      <c r="E7" t="n">
        <v>414529654</v>
      </c>
      <c r="F7" t="n">
        <v>513968420</v>
      </c>
      <c r="G7" t="n">
        <v>433288646</v>
      </c>
      <c r="H7" t="n">
        <v>172056148275</v>
      </c>
      <c r="I7" t="n">
        <v>374931136</v>
      </c>
      <c r="J7" t="n">
        <v>4060</v>
      </c>
      <c r="K7" t="n">
        <v>3589</v>
      </c>
      <c r="L7" t="n">
        <v>0.2753</v>
      </c>
      <c r="M7" t="n">
        <v>363.27</v>
      </c>
      <c r="N7" t="n">
        <v>36227.2</v>
      </c>
      <c r="O7" t="n">
        <v>131965</v>
      </c>
      <c r="P7" t="n">
        <v>42379368</v>
      </c>
      <c r="Q7" t="n">
        <v>104466</v>
      </c>
      <c r="R7" t="n">
        <v>0.863</v>
      </c>
    </row>
    <row r="8">
      <c r="A8" t="inlineStr">
        <is>
          <t>하위강화·배수제거</t>
        </is>
      </c>
      <c r="B8" t="n">
        <v>494640131</v>
      </c>
      <c r="C8" t="n">
        <v>42625532</v>
      </c>
      <c r="D8" t="n">
        <v>567780953</v>
      </c>
      <c r="E8" t="n">
        <v>435071923</v>
      </c>
      <c r="F8" t="n">
        <v>535758734</v>
      </c>
      <c r="G8" t="n">
        <v>453521528</v>
      </c>
      <c r="H8" t="n">
        <v>166630306822</v>
      </c>
      <c r="I8" t="n">
        <v>387271948</v>
      </c>
      <c r="J8" t="n">
        <v>4020</v>
      </c>
      <c r="K8" t="n">
        <v>3549</v>
      </c>
      <c r="L8" t="n">
        <v>0.2968</v>
      </c>
      <c r="M8" t="n">
        <v>336.87</v>
      </c>
      <c r="N8" t="n">
        <v>33587.2</v>
      </c>
      <c r="O8" t="n">
        <v>139383</v>
      </c>
      <c r="P8" t="n">
        <v>41453985</v>
      </c>
      <c r="Q8" t="n">
        <v>109128</v>
      </c>
      <c r="R8" t="n">
        <v>0.8359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4" customWidth="1" min="4" max="4"/>
    <col width="13" customWidth="1" min="5" max="5"/>
    <col width="11" customWidth="1" min="6" max="6"/>
    <col width="11" customWidth="1" min="7" max="7"/>
    <col width="14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  <col width="10" customWidth="1" min="18" max="18"/>
  </cols>
  <sheetData>
    <row r="1">
      <c r="A1" s="1" t="inlineStr">
        <is>
          <t>구조</t>
        </is>
      </c>
      <c r="B1" s="1" t="inlineStr">
        <is>
          <t>예산_평균</t>
        </is>
      </c>
      <c r="C1" s="1" t="inlineStr">
        <is>
          <t>예산_표준편차</t>
        </is>
      </c>
      <c r="D1" s="1" t="inlineStr">
        <is>
          <t>예산_worst(최대)</t>
        </is>
      </c>
      <c r="E1" s="1" t="inlineStr">
        <is>
          <t>예산_best(최소)</t>
        </is>
      </c>
      <c r="F1" s="1" t="inlineStr">
        <is>
          <t>예산_흥행평균</t>
        </is>
      </c>
      <c r="G1" s="1" t="inlineStr">
        <is>
          <t>예산_비흥행평균</t>
        </is>
      </c>
      <c r="H1" s="1" t="inlineStr">
        <is>
          <t>유치이전금액_평균</t>
        </is>
      </c>
      <c r="I1" s="1" t="inlineStr">
        <is>
          <t>리워드지급_평균</t>
        </is>
      </c>
      <c r="J1" s="1" t="inlineStr">
        <is>
          <t>신청자수_평균</t>
        </is>
      </c>
      <c r="K1" s="1" t="inlineStr">
        <is>
          <t>수령자수_평균</t>
        </is>
      </c>
      <c r="L1" s="1" t="inlineStr">
        <is>
          <t>비용률_%</t>
        </is>
      </c>
      <c r="M1" s="1" t="inlineStr">
        <is>
          <t>효율_배</t>
        </is>
      </c>
      <c r="N1" s="1" t="inlineStr">
        <is>
          <t>ROI_%</t>
        </is>
      </c>
      <c r="O1" s="1" t="inlineStr">
        <is>
          <t>CPA</t>
        </is>
      </c>
      <c r="P1" s="1" t="inlineStr">
        <is>
          <t>평균이전금액</t>
        </is>
      </c>
      <c r="Q1" s="1" t="inlineStr">
        <is>
          <t>수령자당평균리워드</t>
        </is>
      </c>
      <c r="R1" s="1" t="inlineStr">
        <is>
          <t>매력도지수_배</t>
        </is>
      </c>
    </row>
    <row r="2">
      <c r="A2" t="inlineStr">
        <is>
          <t>현행</t>
        </is>
      </c>
      <c r="B2" t="n">
        <v>796263402</v>
      </c>
      <c r="C2" t="n">
        <v>71098563</v>
      </c>
      <c r="D2" t="n">
        <v>908730256</v>
      </c>
      <c r="E2" t="n">
        <v>697461026</v>
      </c>
      <c r="F2" t="n">
        <v>864591658</v>
      </c>
      <c r="G2" t="n">
        <v>727935145</v>
      </c>
      <c r="H2" t="n">
        <v>199368471000</v>
      </c>
      <c r="I2" t="n">
        <v>626586333</v>
      </c>
      <c r="J2" t="n">
        <v>4489</v>
      </c>
      <c r="K2" t="n">
        <v>4018</v>
      </c>
      <c r="L2" t="n">
        <v>0.3994</v>
      </c>
      <c r="M2" t="n">
        <v>250.38</v>
      </c>
      <c r="N2" t="n">
        <v>24938</v>
      </c>
      <c r="O2" t="n">
        <v>198167</v>
      </c>
      <c r="P2" t="n">
        <v>44412669</v>
      </c>
      <c r="Q2" t="n">
        <v>155940</v>
      </c>
      <c r="R2" t="n">
        <v>1</v>
      </c>
    </row>
    <row r="3">
      <c r="A3" t="inlineStr">
        <is>
          <t>A_예산최소</t>
        </is>
      </c>
      <c r="B3" t="n">
        <v>668696871</v>
      </c>
      <c r="C3" t="n">
        <v>58932404</v>
      </c>
      <c r="D3" t="n">
        <v>763132342</v>
      </c>
      <c r="E3" t="n">
        <v>588534469</v>
      </c>
      <c r="F3" t="n">
        <v>725118944</v>
      </c>
      <c r="G3" t="n">
        <v>612274799</v>
      </c>
      <c r="H3" t="n">
        <v>189958074912</v>
      </c>
      <c r="I3" t="n">
        <v>523517414</v>
      </c>
      <c r="J3" t="n">
        <v>4171</v>
      </c>
      <c r="K3" t="n">
        <v>3700</v>
      </c>
      <c r="L3" t="n">
        <v>0.352</v>
      </c>
      <c r="M3" t="n">
        <v>284.07</v>
      </c>
      <c r="N3" t="n">
        <v>28307.2</v>
      </c>
      <c r="O3" t="n">
        <v>180742</v>
      </c>
      <c r="P3" t="n">
        <v>45546869</v>
      </c>
      <c r="Q3" t="n">
        <v>141501</v>
      </c>
      <c r="R3" t="n">
        <v>0.9528</v>
      </c>
    </row>
    <row r="4">
      <c r="A4" t="inlineStr">
        <is>
          <t>B_효율최대</t>
        </is>
      </c>
      <c r="B4" t="n">
        <v>555824361</v>
      </c>
      <c r="C4" t="n">
        <v>51482969</v>
      </c>
      <c r="D4" t="n">
        <v>635832580</v>
      </c>
      <c r="E4" t="n">
        <v>483892311</v>
      </c>
      <c r="F4" t="n">
        <v>605209607</v>
      </c>
      <c r="G4" t="n">
        <v>506439114</v>
      </c>
      <c r="H4" t="n">
        <v>179756180124</v>
      </c>
      <c r="I4" t="n">
        <v>443596328</v>
      </c>
      <c r="J4" t="n">
        <v>4035</v>
      </c>
      <c r="K4" t="n">
        <v>3565</v>
      </c>
      <c r="L4" t="n">
        <v>0.3092</v>
      </c>
      <c r="M4" t="n">
        <v>323.4</v>
      </c>
      <c r="N4" t="n">
        <v>32240.5</v>
      </c>
      <c r="O4" t="n">
        <v>155933</v>
      </c>
      <c r="P4" t="n">
        <v>44545131</v>
      </c>
      <c r="Q4" t="n">
        <v>124448</v>
      </c>
      <c r="R4" t="n">
        <v>0.9016</v>
      </c>
    </row>
    <row r="5">
      <c r="A5" t="inlineStr">
        <is>
          <t>C_목표예산</t>
        </is>
      </c>
      <c r="B5" t="n">
        <v>634006164</v>
      </c>
      <c r="C5" t="n">
        <v>58809882</v>
      </c>
      <c r="D5" t="n">
        <v>724252750</v>
      </c>
      <c r="E5" t="n">
        <v>549837116</v>
      </c>
      <c r="F5" t="n">
        <v>690126980</v>
      </c>
      <c r="G5" t="n">
        <v>577885349</v>
      </c>
      <c r="H5" t="n">
        <v>184748240782</v>
      </c>
      <c r="I5" t="n">
        <v>506054215</v>
      </c>
      <c r="J5" t="n">
        <v>4135</v>
      </c>
      <c r="K5" t="n">
        <v>3664</v>
      </c>
      <c r="L5" t="n">
        <v>0.3432</v>
      </c>
      <c r="M5" t="n">
        <v>291.4</v>
      </c>
      <c r="N5" t="n">
        <v>29039.8</v>
      </c>
      <c r="O5" t="n">
        <v>173029</v>
      </c>
      <c r="P5" t="n">
        <v>44678946</v>
      </c>
      <c r="Q5" t="n">
        <v>138110</v>
      </c>
      <c r="R5" t="n">
        <v>0.9266</v>
      </c>
    </row>
    <row r="7">
      <c r="A7" t="inlineStr">
        <is>
          <t>구조</t>
        </is>
      </c>
      <c r="B7" t="inlineStr">
        <is>
          <t>배수</t>
        </is>
      </c>
      <c r="C7" t="inlineStr">
        <is>
          <t>리워드벡터(인정금액 티어 순)</t>
        </is>
      </c>
    </row>
    <row r="8">
      <c r="A8" t="inlineStr">
        <is>
          <t>현행</t>
        </is>
      </c>
      <c r="B8" t="n">
        <v>1.5</v>
      </c>
      <c r="C8" t="inlineStr">
        <is>
          <t>20000 / 40000 / 60000 / 150000 / 300000 / 600000 / 1000000</t>
        </is>
      </c>
    </row>
    <row r="9">
      <c r="A9" t="inlineStr">
        <is>
          <t>A_예산최소</t>
        </is>
      </c>
      <c r="B9" t="n">
        <v>1.5</v>
      </c>
      <c r="C9" t="inlineStr">
        <is>
          <t>10000 / 20000 / 50000 / 150000 / 250000 / 450000 / 750000</t>
        </is>
      </c>
    </row>
    <row r="10">
      <c r="A10" t="inlineStr">
        <is>
          <t>B_효율최대</t>
        </is>
      </c>
      <c r="B10" t="n">
        <v>1.5</v>
      </c>
      <c r="C10" t="inlineStr">
        <is>
          <t>20000 / 30000 / 40000 / 100000 / 250000 / 600000 / 1000000</t>
        </is>
      </c>
    </row>
    <row r="11">
      <c r="A11" t="inlineStr">
        <is>
          <t>C_목표예산</t>
        </is>
      </c>
      <c r="B11" t="n">
        <v>1.5</v>
      </c>
      <c r="C11" t="inlineStr">
        <is>
          <t>20000 / 40000 / 40000 / 100000 / 300000 / 550000 / 1000000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0" customWidth="1" min="3" max="3"/>
    <col width="12" customWidth="1" min="4" max="4"/>
    <col width="17" customWidth="1" min="5" max="5"/>
    <col width="10" customWidth="1" min="6" max="6"/>
  </cols>
  <sheetData>
    <row r="1">
      <c r="A1" s="2" t="inlineStr">
        <is>
          <t>[안1_매력도우선]</t>
        </is>
      </c>
    </row>
    <row r="2">
      <c r="A2" s="2" t="inlineStr">
        <is>
          <t>시나리오: 전체(평균) (회차 30)</t>
        </is>
      </c>
    </row>
    <row r="3">
      <c r="A3" s="1" t="inlineStr">
        <is>
          <t>순입금 구간</t>
        </is>
      </c>
      <c r="B3" s="1" t="inlineStr">
        <is>
          <t>인원(회차평균)</t>
        </is>
      </c>
      <c r="C3" s="1" t="inlineStr">
        <is>
          <t>리워드</t>
        </is>
      </c>
      <c r="D3" s="1" t="inlineStr">
        <is>
          <t>1인예산(제세포함)</t>
        </is>
      </c>
      <c r="E3" s="1" t="inlineStr">
        <is>
          <t>소요예산</t>
        </is>
      </c>
      <c r="F3" s="1" t="inlineStr">
        <is>
          <t>예산비중</t>
        </is>
      </c>
    </row>
    <row r="4">
      <c r="A4" t="inlineStr">
        <is>
          <t>5,000,000~10,000,000원</t>
        </is>
      </c>
      <c r="B4" t="n">
        <v>212.7</v>
      </c>
      <c r="C4" t="n">
        <v>20000</v>
      </c>
      <c r="D4" t="n">
        <v>20000</v>
      </c>
      <c r="E4" t="n">
        <v>4254667</v>
      </c>
      <c r="F4" s="3" t="n">
        <v>0.0053</v>
      </c>
    </row>
    <row r="5">
      <c r="A5" t="inlineStr">
        <is>
          <t>10,000,000~15,000,000원</t>
        </is>
      </c>
      <c r="B5" t="n">
        <v>361.1</v>
      </c>
      <c r="C5" t="n">
        <v>40000</v>
      </c>
      <c r="D5" t="n">
        <v>40000</v>
      </c>
      <c r="E5" t="n">
        <v>14445333</v>
      </c>
      <c r="F5" s="3" t="n">
        <v>0.018</v>
      </c>
    </row>
    <row r="6">
      <c r="A6" t="inlineStr">
        <is>
          <t>15,000,000~30,000,000원</t>
        </is>
      </c>
      <c r="B6" t="n">
        <v>743.3</v>
      </c>
      <c r="C6" t="n">
        <v>50000</v>
      </c>
      <c r="D6" t="n">
        <v>64103</v>
      </c>
      <c r="E6" t="n">
        <v>47645299</v>
      </c>
      <c r="F6" s="3" t="n">
        <v>0.0594</v>
      </c>
    </row>
    <row r="7">
      <c r="A7" t="inlineStr">
        <is>
          <t>30,000,000~50,000,000원</t>
        </is>
      </c>
      <c r="B7" t="n">
        <v>984.1</v>
      </c>
      <c r="C7" t="n">
        <v>100000</v>
      </c>
      <c r="D7" t="n">
        <v>128205</v>
      </c>
      <c r="E7" t="n">
        <v>126162393</v>
      </c>
      <c r="F7" s="3" t="n">
        <v>0.1573</v>
      </c>
    </row>
    <row r="8">
      <c r="A8" t="inlineStr">
        <is>
          <t>50,000,000~66,000,000원</t>
        </is>
      </c>
      <c r="B8" t="n">
        <v>667.9</v>
      </c>
      <c r="C8" t="n">
        <v>200000</v>
      </c>
      <c r="D8" t="n">
        <v>256410</v>
      </c>
      <c r="E8" t="n">
        <v>171264957</v>
      </c>
      <c r="F8" s="3" t="n">
        <v>0.2136</v>
      </c>
    </row>
    <row r="9">
      <c r="A9" t="inlineStr">
        <is>
          <t>66,000,000~90,000,000원</t>
        </is>
      </c>
      <c r="B9" t="n">
        <v>557.4</v>
      </c>
      <c r="C9" t="n">
        <v>250000</v>
      </c>
      <c r="D9" t="n">
        <v>320513</v>
      </c>
      <c r="E9" t="n">
        <v>178643162</v>
      </c>
      <c r="F9" s="3" t="n">
        <v>0.2228</v>
      </c>
    </row>
    <row r="10">
      <c r="A10" t="inlineStr">
        <is>
          <t>90,000,000~130,000,000원</t>
        </is>
      </c>
      <c r="B10" t="n">
        <v>397.2</v>
      </c>
      <c r="C10" t="n">
        <v>350000</v>
      </c>
      <c r="D10" t="n">
        <v>448718</v>
      </c>
      <c r="E10" t="n">
        <v>178230769</v>
      </c>
      <c r="F10" s="3" t="n">
        <v>0.2223</v>
      </c>
    </row>
    <row r="11">
      <c r="A11" t="inlineStr">
        <is>
          <t>130,000,000~170,000,000원</t>
        </is>
      </c>
      <c r="B11" t="n">
        <v>77.7</v>
      </c>
      <c r="C11" t="n">
        <v>600000</v>
      </c>
      <c r="D11" t="n">
        <v>769231</v>
      </c>
      <c r="E11" t="n">
        <v>59794872</v>
      </c>
      <c r="F11" s="3" t="n">
        <v>0.0746</v>
      </c>
    </row>
    <row r="12">
      <c r="A12" t="inlineStr">
        <is>
          <t>170,000,000원 이상</t>
        </is>
      </c>
      <c r="B12" t="n">
        <v>16.7</v>
      </c>
      <c r="C12" t="n">
        <v>1000000</v>
      </c>
      <c r="D12" t="n">
        <v>1282051</v>
      </c>
      <c r="E12" t="n">
        <v>21410256</v>
      </c>
      <c r="F12" s="3" t="n">
        <v>0.0267</v>
      </c>
    </row>
    <row r="13">
      <c r="A13" s="2" t="inlineStr">
        <is>
          <t>합계</t>
        </is>
      </c>
      <c r="B13" s="2">
        <f>SUM(B4:B12)</f>
        <v/>
      </c>
      <c r="E13" s="2">
        <f>SUM(E4:E12)</f>
        <v/>
      </c>
    </row>
    <row r="14"/>
    <row r="15">
      <c r="A15" s="2" t="inlineStr">
        <is>
          <t>시나리오: 흥행 (회차 15)</t>
        </is>
      </c>
    </row>
    <row r="16">
      <c r="A16" s="1" t="inlineStr">
        <is>
          <t>순입금 구간</t>
        </is>
      </c>
      <c r="B16" s="1" t="inlineStr">
        <is>
          <t>인원(회차평균)</t>
        </is>
      </c>
      <c r="C16" s="1" t="inlineStr">
        <is>
          <t>리워드</t>
        </is>
      </c>
      <c r="D16" s="1" t="inlineStr">
        <is>
          <t>1인예산(제세포함)</t>
        </is>
      </c>
      <c r="E16" s="1" t="inlineStr">
        <is>
          <t>소요예산</t>
        </is>
      </c>
      <c r="F16" s="1" t="inlineStr">
        <is>
          <t>예산비중</t>
        </is>
      </c>
    </row>
    <row r="17">
      <c r="A17" t="inlineStr">
        <is>
          <t>5,000,000~10,000,000원</t>
        </is>
      </c>
      <c r="B17" t="n">
        <v>228.4</v>
      </c>
      <c r="C17" t="n">
        <v>20000</v>
      </c>
      <c r="D17" t="n">
        <v>20000</v>
      </c>
      <c r="E17" t="n">
        <v>4568000</v>
      </c>
      <c r="F17" s="3" t="n">
        <v>0.0052</v>
      </c>
    </row>
    <row r="18">
      <c r="A18" t="inlineStr">
        <is>
          <t>10,000,000~15,000,000원</t>
        </is>
      </c>
      <c r="B18" t="n">
        <v>384</v>
      </c>
      <c r="C18" t="n">
        <v>40000</v>
      </c>
      <c r="D18" t="n">
        <v>40000</v>
      </c>
      <c r="E18" t="n">
        <v>15360000</v>
      </c>
      <c r="F18" s="3" t="n">
        <v>0.0176</v>
      </c>
    </row>
    <row r="19">
      <c r="A19" t="inlineStr">
        <is>
          <t>15,000,000~30,000,000원</t>
        </is>
      </c>
      <c r="B19" t="n">
        <v>796.2</v>
      </c>
      <c r="C19" t="n">
        <v>50000</v>
      </c>
      <c r="D19" t="n">
        <v>64103</v>
      </c>
      <c r="E19" t="n">
        <v>51038462</v>
      </c>
      <c r="F19" s="3" t="n">
        <v>0.0585</v>
      </c>
    </row>
    <row r="20">
      <c r="A20" t="inlineStr">
        <is>
          <t>30,000,000~50,000,000원</t>
        </is>
      </c>
      <c r="B20" t="n">
        <v>1049.2</v>
      </c>
      <c r="C20" t="n">
        <v>100000</v>
      </c>
      <c r="D20" t="n">
        <v>128205</v>
      </c>
      <c r="E20" t="n">
        <v>134512821</v>
      </c>
      <c r="F20" s="3" t="n">
        <v>0.1542</v>
      </c>
    </row>
    <row r="21">
      <c r="A21" t="inlineStr">
        <is>
          <t>50,000,000~66,000,000원</t>
        </is>
      </c>
      <c r="B21" t="n">
        <v>722.3</v>
      </c>
      <c r="C21" t="n">
        <v>200000</v>
      </c>
      <c r="D21" t="n">
        <v>256410</v>
      </c>
      <c r="E21" t="n">
        <v>185196581</v>
      </c>
      <c r="F21" s="3" t="n">
        <v>0.2123</v>
      </c>
    </row>
    <row r="22">
      <c r="A22" t="inlineStr">
        <is>
          <t>66,000,000~90,000,000원</t>
        </is>
      </c>
      <c r="B22" t="n">
        <v>606.6</v>
      </c>
      <c r="C22" t="n">
        <v>250000</v>
      </c>
      <c r="D22" t="n">
        <v>320513</v>
      </c>
      <c r="E22" t="n">
        <v>194423077</v>
      </c>
      <c r="F22" s="3" t="n">
        <v>0.2229</v>
      </c>
    </row>
    <row r="23">
      <c r="A23" t="inlineStr">
        <is>
          <t>90,000,000~130,000,000원</t>
        </is>
      </c>
      <c r="B23" t="n">
        <v>435.4</v>
      </c>
      <c r="C23" t="n">
        <v>350000</v>
      </c>
      <c r="D23" t="n">
        <v>448718</v>
      </c>
      <c r="E23" t="n">
        <v>195371795</v>
      </c>
      <c r="F23" s="3" t="n">
        <v>0.2239</v>
      </c>
    </row>
    <row r="24">
      <c r="A24" t="inlineStr">
        <is>
          <t>130,000,000~170,000,000원</t>
        </is>
      </c>
      <c r="B24" t="n">
        <v>87.90000000000001</v>
      </c>
      <c r="C24" t="n">
        <v>600000</v>
      </c>
      <c r="D24" t="n">
        <v>769231</v>
      </c>
      <c r="E24" t="n">
        <v>67589744</v>
      </c>
      <c r="F24" s="3" t="n">
        <v>0.0775</v>
      </c>
    </row>
    <row r="25">
      <c r="A25" t="inlineStr">
        <is>
          <t>170,000,000원 이상</t>
        </is>
      </c>
      <c r="B25" t="n">
        <v>19</v>
      </c>
      <c r="C25" t="n">
        <v>1000000</v>
      </c>
      <c r="D25" t="n">
        <v>1282051</v>
      </c>
      <c r="E25" t="n">
        <v>24358974</v>
      </c>
      <c r="F25" s="3" t="n">
        <v>0.0279</v>
      </c>
    </row>
    <row r="26">
      <c r="A26" s="2" t="inlineStr">
        <is>
          <t>합계</t>
        </is>
      </c>
      <c r="B26" s="2">
        <f>SUM(B17:B25)</f>
        <v/>
      </c>
      <c r="E26" s="2">
        <f>SUM(E17:E25)</f>
        <v/>
      </c>
    </row>
    <row r="27"/>
    <row r="28">
      <c r="A28" s="2" t="inlineStr">
        <is>
          <t>시나리오: 비흥행 (회차 15)</t>
        </is>
      </c>
    </row>
    <row r="29">
      <c r="A29" s="1" t="inlineStr">
        <is>
          <t>순입금 구간</t>
        </is>
      </c>
      <c r="B29" s="1" t="inlineStr">
        <is>
          <t>인원(회차평균)</t>
        </is>
      </c>
      <c r="C29" s="1" t="inlineStr">
        <is>
          <t>리워드</t>
        </is>
      </c>
      <c r="D29" s="1" t="inlineStr">
        <is>
          <t>1인예산(제세포함)</t>
        </is>
      </c>
      <c r="E29" s="1" t="inlineStr">
        <is>
          <t>소요예산</t>
        </is>
      </c>
      <c r="F29" s="1" t="inlineStr">
        <is>
          <t>예산비중</t>
        </is>
      </c>
    </row>
    <row r="30">
      <c r="A30" t="inlineStr">
        <is>
          <t>5,000,000~10,000,000원</t>
        </is>
      </c>
      <c r="B30" t="n">
        <v>197.1</v>
      </c>
      <c r="C30" t="n">
        <v>20000</v>
      </c>
      <c r="D30" t="n">
        <v>20000</v>
      </c>
      <c r="E30" t="n">
        <v>3941333</v>
      </c>
      <c r="F30" s="3" t="n">
        <v>0.0054</v>
      </c>
    </row>
    <row r="31">
      <c r="A31" t="inlineStr">
        <is>
          <t>10,000,000~15,000,000원</t>
        </is>
      </c>
      <c r="B31" t="n">
        <v>338.3</v>
      </c>
      <c r="C31" t="n">
        <v>40000</v>
      </c>
      <c r="D31" t="n">
        <v>40000</v>
      </c>
      <c r="E31" t="n">
        <v>13530667</v>
      </c>
      <c r="F31" s="3" t="n">
        <v>0.0185</v>
      </c>
    </row>
    <row r="32">
      <c r="A32" t="inlineStr">
        <is>
          <t>15,000,000~30,000,000원</t>
        </is>
      </c>
      <c r="B32" t="n">
        <v>690.3</v>
      </c>
      <c r="C32" t="n">
        <v>50000</v>
      </c>
      <c r="D32" t="n">
        <v>64103</v>
      </c>
      <c r="E32" t="n">
        <v>44252137</v>
      </c>
      <c r="F32" s="3" t="n">
        <v>0.0605</v>
      </c>
    </row>
    <row r="33">
      <c r="A33" t="inlineStr">
        <is>
          <t>30,000,000~50,000,000원</t>
        </is>
      </c>
      <c r="B33" t="n">
        <v>918.9</v>
      </c>
      <c r="C33" t="n">
        <v>100000</v>
      </c>
      <c r="D33" t="n">
        <v>128205</v>
      </c>
      <c r="E33" t="n">
        <v>117811966</v>
      </c>
      <c r="F33" s="3" t="n">
        <v>0.1611</v>
      </c>
    </row>
    <row r="34">
      <c r="A34" t="inlineStr">
        <is>
          <t>50,000,000~66,000,000원</t>
        </is>
      </c>
      <c r="B34" t="n">
        <v>613.6</v>
      </c>
      <c r="C34" t="n">
        <v>200000</v>
      </c>
      <c r="D34" t="n">
        <v>256410</v>
      </c>
      <c r="E34" t="n">
        <v>157333333</v>
      </c>
      <c r="F34" s="3" t="n">
        <v>0.2151</v>
      </c>
    </row>
    <row r="35">
      <c r="A35" t="inlineStr">
        <is>
          <t>66,000,000~90,000,000원</t>
        </is>
      </c>
      <c r="B35" t="n">
        <v>508.1</v>
      </c>
      <c r="C35" t="n">
        <v>250000</v>
      </c>
      <c r="D35" t="n">
        <v>320513</v>
      </c>
      <c r="E35" t="n">
        <v>162863248</v>
      </c>
      <c r="F35" s="3" t="n">
        <v>0.2227</v>
      </c>
    </row>
    <row r="36">
      <c r="A36" t="inlineStr">
        <is>
          <t>90,000,000~130,000,000원</t>
        </is>
      </c>
      <c r="B36" t="n">
        <v>359</v>
      </c>
      <c r="C36" t="n">
        <v>350000</v>
      </c>
      <c r="D36" t="n">
        <v>448718</v>
      </c>
      <c r="E36" t="n">
        <v>161089744</v>
      </c>
      <c r="F36" s="3" t="n">
        <v>0.2203</v>
      </c>
    </row>
    <row r="37">
      <c r="A37" t="inlineStr">
        <is>
          <t>130,000,000~170,000,000원</t>
        </is>
      </c>
      <c r="B37" t="n">
        <v>67.59999999999999</v>
      </c>
      <c r="C37" t="n">
        <v>600000</v>
      </c>
      <c r="D37" t="n">
        <v>769231</v>
      </c>
      <c r="E37" t="n">
        <v>52000000</v>
      </c>
      <c r="F37" s="3" t="n">
        <v>0.0711</v>
      </c>
    </row>
    <row r="38">
      <c r="A38" t="inlineStr">
        <is>
          <t>170,000,000원 이상</t>
        </is>
      </c>
      <c r="B38" t="n">
        <v>14.4</v>
      </c>
      <c r="C38" t="n">
        <v>1000000</v>
      </c>
      <c r="D38" t="n">
        <v>1282051</v>
      </c>
      <c r="E38" t="n">
        <v>18461538</v>
      </c>
      <c r="F38" s="3" t="n">
        <v>0.0252</v>
      </c>
    </row>
    <row r="39">
      <c r="A39" s="2" t="inlineStr">
        <is>
          <t>합계</t>
        </is>
      </c>
      <c r="B39" s="2">
        <f>SUM(B30:B38)</f>
        <v/>
      </c>
      <c r="E39" s="2">
        <f>SUM(E30:E38)</f>
        <v/>
      </c>
    </row>
    <row r="40"/>
    <row r="41"/>
    <row r="42">
      <c r="A42" s="2" t="inlineStr">
        <is>
          <t>[안2_균형]</t>
        </is>
      </c>
    </row>
    <row r="43">
      <c r="A43" s="2" t="inlineStr">
        <is>
          <t>시나리오: 전체(평균) (회차 30)</t>
        </is>
      </c>
    </row>
    <row r="44">
      <c r="A44" s="1" t="inlineStr">
        <is>
          <t>순입금 구간</t>
        </is>
      </c>
      <c r="B44" s="1" t="inlineStr">
        <is>
          <t>인원(회차평균)</t>
        </is>
      </c>
      <c r="C44" s="1" t="inlineStr">
        <is>
          <t>리워드</t>
        </is>
      </c>
      <c r="D44" s="1" t="inlineStr">
        <is>
          <t>1인예산(제세포함)</t>
        </is>
      </c>
      <c r="E44" s="1" t="inlineStr">
        <is>
          <t>소요예산</t>
        </is>
      </c>
      <c r="F44" s="1" t="inlineStr">
        <is>
          <t>예산비중</t>
        </is>
      </c>
    </row>
    <row r="45">
      <c r="A45" t="inlineStr">
        <is>
          <t>5,000,000~10,000,000원</t>
        </is>
      </c>
      <c r="B45" t="n">
        <v>212.7</v>
      </c>
      <c r="C45" t="n">
        <v>20000</v>
      </c>
      <c r="D45" t="n">
        <v>20000</v>
      </c>
      <c r="E45" t="n">
        <v>4254667</v>
      </c>
      <c r="F45" s="3" t="n">
        <v>0.0058</v>
      </c>
    </row>
    <row r="46">
      <c r="A46" t="inlineStr">
        <is>
          <t>10,000,000~15,000,000원</t>
        </is>
      </c>
      <c r="B46" t="n">
        <v>361.1</v>
      </c>
      <c r="C46" t="n">
        <v>30000</v>
      </c>
      <c r="D46" t="n">
        <v>30000</v>
      </c>
      <c r="E46" t="n">
        <v>10834000</v>
      </c>
      <c r="F46" s="3" t="n">
        <v>0.0148</v>
      </c>
    </row>
    <row r="47">
      <c r="A47" t="inlineStr">
        <is>
          <t>15,000,000~30,000,000원</t>
        </is>
      </c>
      <c r="B47" t="n">
        <v>743.3</v>
      </c>
      <c r="C47" t="n">
        <v>50000</v>
      </c>
      <c r="D47" t="n">
        <v>64103</v>
      </c>
      <c r="E47" t="n">
        <v>47645299</v>
      </c>
      <c r="F47" s="3" t="n">
        <v>0.0653</v>
      </c>
    </row>
    <row r="48">
      <c r="A48" t="inlineStr">
        <is>
          <t>30,000,000~50,000,000원</t>
        </is>
      </c>
      <c r="B48" t="n">
        <v>984.1</v>
      </c>
      <c r="C48" t="n">
        <v>100000</v>
      </c>
      <c r="D48" t="n">
        <v>128205</v>
      </c>
      <c r="E48" t="n">
        <v>126162393</v>
      </c>
      <c r="F48" s="3" t="n">
        <v>0.1728</v>
      </c>
    </row>
    <row r="49">
      <c r="A49" t="inlineStr">
        <is>
          <t>50,000,000~66,000,000원</t>
        </is>
      </c>
      <c r="B49" t="n">
        <v>667.9</v>
      </c>
      <c r="C49" t="n">
        <v>150000</v>
      </c>
      <c r="D49" t="n">
        <v>192308</v>
      </c>
      <c r="E49" t="n">
        <v>128448718</v>
      </c>
      <c r="F49" s="3" t="n">
        <v>0.176</v>
      </c>
    </row>
    <row r="50">
      <c r="A50" t="inlineStr">
        <is>
          <t>66,000,000~90,000,000원</t>
        </is>
      </c>
      <c r="B50" t="n">
        <v>557.4</v>
      </c>
      <c r="C50" t="n">
        <v>250000</v>
      </c>
      <c r="D50" t="n">
        <v>320513</v>
      </c>
      <c r="E50" t="n">
        <v>178643162</v>
      </c>
      <c r="F50" s="3" t="n">
        <v>0.2447</v>
      </c>
    </row>
    <row r="51">
      <c r="A51" t="inlineStr">
        <is>
          <t>90,000,000~130,000,000원</t>
        </is>
      </c>
      <c r="B51" t="n">
        <v>397.2</v>
      </c>
      <c r="C51" t="n">
        <v>300000</v>
      </c>
      <c r="D51" t="n">
        <v>384615</v>
      </c>
      <c r="E51" t="n">
        <v>152769231</v>
      </c>
      <c r="F51" s="3" t="n">
        <v>0.2093</v>
      </c>
    </row>
    <row r="52">
      <c r="A52" t="inlineStr">
        <is>
          <t>130,000,000~170,000,000원</t>
        </is>
      </c>
      <c r="B52" t="n">
        <v>77.7</v>
      </c>
      <c r="C52" t="n">
        <v>600000</v>
      </c>
      <c r="D52" t="n">
        <v>769231</v>
      </c>
      <c r="E52" t="n">
        <v>59794872</v>
      </c>
      <c r="F52" s="3" t="n">
        <v>0.0819</v>
      </c>
    </row>
    <row r="53">
      <c r="A53" t="inlineStr">
        <is>
          <t>170,000,000원 이상</t>
        </is>
      </c>
      <c r="B53" t="n">
        <v>16.7</v>
      </c>
      <c r="C53" t="n">
        <v>1000000</v>
      </c>
      <c r="D53" t="n">
        <v>1282051</v>
      </c>
      <c r="E53" t="n">
        <v>21410256</v>
      </c>
      <c r="F53" s="3" t="n">
        <v>0.0293</v>
      </c>
    </row>
    <row r="54">
      <c r="A54" s="2" t="inlineStr">
        <is>
          <t>합계</t>
        </is>
      </c>
      <c r="B54" s="2">
        <f>SUM(B45:B53)</f>
        <v/>
      </c>
      <c r="E54" s="2">
        <f>SUM(E45:E53)</f>
        <v/>
      </c>
    </row>
    <row r="55"/>
    <row r="56">
      <c r="A56" s="2" t="inlineStr">
        <is>
          <t>시나리오: 흥행 (회차 15)</t>
        </is>
      </c>
    </row>
    <row r="57">
      <c r="A57" s="1" t="inlineStr">
        <is>
          <t>순입금 구간</t>
        </is>
      </c>
      <c r="B57" s="1" t="inlineStr">
        <is>
          <t>인원(회차평균)</t>
        </is>
      </c>
      <c r="C57" s="1" t="inlineStr">
        <is>
          <t>리워드</t>
        </is>
      </c>
      <c r="D57" s="1" t="inlineStr">
        <is>
          <t>1인예산(제세포함)</t>
        </is>
      </c>
      <c r="E57" s="1" t="inlineStr">
        <is>
          <t>소요예산</t>
        </is>
      </c>
      <c r="F57" s="1" t="inlineStr">
        <is>
          <t>예산비중</t>
        </is>
      </c>
    </row>
    <row r="58">
      <c r="A58" t="inlineStr">
        <is>
          <t>5,000,000~10,000,000원</t>
        </is>
      </c>
      <c r="B58" t="n">
        <v>228.4</v>
      </c>
      <c r="C58" t="n">
        <v>20000</v>
      </c>
      <c r="D58" t="n">
        <v>20000</v>
      </c>
      <c r="E58" t="n">
        <v>4568000</v>
      </c>
      <c r="F58" s="3" t="n">
        <v>0.0058</v>
      </c>
    </row>
    <row r="59">
      <c r="A59" t="inlineStr">
        <is>
          <t>10,000,000~15,000,000원</t>
        </is>
      </c>
      <c r="B59" t="n">
        <v>384</v>
      </c>
      <c r="C59" t="n">
        <v>30000</v>
      </c>
      <c r="D59" t="n">
        <v>30000</v>
      </c>
      <c r="E59" t="n">
        <v>11520000</v>
      </c>
      <c r="F59" s="3" t="n">
        <v>0.0145</v>
      </c>
    </row>
    <row r="60">
      <c r="A60" t="inlineStr">
        <is>
          <t>15,000,000~30,000,000원</t>
        </is>
      </c>
      <c r="B60" t="n">
        <v>796.2</v>
      </c>
      <c r="C60" t="n">
        <v>50000</v>
      </c>
      <c r="D60" t="n">
        <v>64103</v>
      </c>
      <c r="E60" t="n">
        <v>51038462</v>
      </c>
      <c r="F60" s="3" t="n">
        <v>0.0643</v>
      </c>
    </row>
    <row r="61">
      <c r="A61" t="inlineStr">
        <is>
          <t>30,000,000~50,000,000원</t>
        </is>
      </c>
      <c r="B61" t="n">
        <v>1049.2</v>
      </c>
      <c r="C61" t="n">
        <v>100000</v>
      </c>
      <c r="D61" t="n">
        <v>128205</v>
      </c>
      <c r="E61" t="n">
        <v>134512821</v>
      </c>
      <c r="F61" s="3" t="n">
        <v>0.1693</v>
      </c>
    </row>
    <row r="62">
      <c r="A62" t="inlineStr">
        <is>
          <t>50,000,000~66,000,000원</t>
        </is>
      </c>
      <c r="B62" t="n">
        <v>722.3</v>
      </c>
      <c r="C62" t="n">
        <v>150000</v>
      </c>
      <c r="D62" t="n">
        <v>192308</v>
      </c>
      <c r="E62" t="n">
        <v>138897436</v>
      </c>
      <c r="F62" s="3" t="n">
        <v>0.1749</v>
      </c>
    </row>
    <row r="63">
      <c r="A63" t="inlineStr">
        <is>
          <t>66,000,000~90,000,000원</t>
        </is>
      </c>
      <c r="B63" t="n">
        <v>606.6</v>
      </c>
      <c r="C63" t="n">
        <v>250000</v>
      </c>
      <c r="D63" t="n">
        <v>320513</v>
      </c>
      <c r="E63" t="n">
        <v>194423077</v>
      </c>
      <c r="F63" s="3" t="n">
        <v>0.2448</v>
      </c>
    </row>
    <row r="64">
      <c r="A64" t="inlineStr">
        <is>
          <t>90,000,000~130,000,000원</t>
        </is>
      </c>
      <c r="B64" t="n">
        <v>435.4</v>
      </c>
      <c r="C64" t="n">
        <v>300000</v>
      </c>
      <c r="D64" t="n">
        <v>384615</v>
      </c>
      <c r="E64" t="n">
        <v>167461538</v>
      </c>
      <c r="F64" s="3" t="n">
        <v>0.2108</v>
      </c>
    </row>
    <row r="65">
      <c r="A65" t="inlineStr">
        <is>
          <t>130,000,000~170,000,000원</t>
        </is>
      </c>
      <c r="B65" t="n">
        <v>87.90000000000001</v>
      </c>
      <c r="C65" t="n">
        <v>600000</v>
      </c>
      <c r="D65" t="n">
        <v>769231</v>
      </c>
      <c r="E65" t="n">
        <v>67589744</v>
      </c>
      <c r="F65" s="3" t="n">
        <v>0.0851</v>
      </c>
    </row>
    <row r="66">
      <c r="A66" t="inlineStr">
        <is>
          <t>170,000,000원 이상</t>
        </is>
      </c>
      <c r="B66" t="n">
        <v>19</v>
      </c>
      <c r="C66" t="n">
        <v>1000000</v>
      </c>
      <c r="D66" t="n">
        <v>1282051</v>
      </c>
      <c r="E66" t="n">
        <v>24358974</v>
      </c>
      <c r="F66" s="3" t="n">
        <v>0.0307</v>
      </c>
    </row>
    <row r="67">
      <c r="A67" s="2" t="inlineStr">
        <is>
          <t>합계</t>
        </is>
      </c>
      <c r="B67" s="2">
        <f>SUM(B58:B66)</f>
        <v/>
      </c>
      <c r="E67" s="2">
        <f>SUM(E58:E66)</f>
        <v/>
      </c>
    </row>
    <row r="68"/>
    <row r="69">
      <c r="A69" s="2" t="inlineStr">
        <is>
          <t>시나리오: 비흥행 (회차 15)</t>
        </is>
      </c>
    </row>
    <row r="70">
      <c r="A70" s="1" t="inlineStr">
        <is>
          <t>순입금 구간</t>
        </is>
      </c>
      <c r="B70" s="1" t="inlineStr">
        <is>
          <t>인원(회차평균)</t>
        </is>
      </c>
      <c r="C70" s="1" t="inlineStr">
        <is>
          <t>리워드</t>
        </is>
      </c>
      <c r="D70" s="1" t="inlineStr">
        <is>
          <t>1인예산(제세포함)</t>
        </is>
      </c>
      <c r="E70" s="1" t="inlineStr">
        <is>
          <t>소요예산</t>
        </is>
      </c>
      <c r="F70" s="1" t="inlineStr">
        <is>
          <t>예산비중</t>
        </is>
      </c>
    </row>
    <row r="71">
      <c r="A71" t="inlineStr">
        <is>
          <t>5,000,000~10,000,000원</t>
        </is>
      </c>
      <c r="B71" t="n">
        <v>197.1</v>
      </c>
      <c r="C71" t="n">
        <v>20000</v>
      </c>
      <c r="D71" t="n">
        <v>20000</v>
      </c>
      <c r="E71" t="n">
        <v>3941333</v>
      </c>
      <c r="F71" s="3" t="n">
        <v>0.0059</v>
      </c>
    </row>
    <row r="72">
      <c r="A72" t="inlineStr">
        <is>
          <t>10,000,000~15,000,000원</t>
        </is>
      </c>
      <c r="B72" t="n">
        <v>338.3</v>
      </c>
      <c r="C72" t="n">
        <v>30000</v>
      </c>
      <c r="D72" t="n">
        <v>30000</v>
      </c>
      <c r="E72" t="n">
        <v>10148000</v>
      </c>
      <c r="F72" s="3" t="n">
        <v>0.0152</v>
      </c>
    </row>
    <row r="73">
      <c r="A73" t="inlineStr">
        <is>
          <t>15,000,000~30,000,000원</t>
        </is>
      </c>
      <c r="B73" t="n">
        <v>690.3</v>
      </c>
      <c r="C73" t="n">
        <v>50000</v>
      </c>
      <c r="D73" t="n">
        <v>64103</v>
      </c>
      <c r="E73" t="n">
        <v>44252137</v>
      </c>
      <c r="F73" s="3" t="n">
        <v>0.0665</v>
      </c>
    </row>
    <row r="74">
      <c r="A74" t="inlineStr">
        <is>
          <t>30,000,000~50,000,000원</t>
        </is>
      </c>
      <c r="B74" t="n">
        <v>918.9</v>
      </c>
      <c r="C74" t="n">
        <v>100000</v>
      </c>
      <c r="D74" t="n">
        <v>128205</v>
      </c>
      <c r="E74" t="n">
        <v>117811966</v>
      </c>
      <c r="F74" s="3" t="n">
        <v>0.177</v>
      </c>
    </row>
    <row r="75">
      <c r="A75" t="inlineStr">
        <is>
          <t>50,000,000~66,000,000원</t>
        </is>
      </c>
      <c r="B75" t="n">
        <v>613.6</v>
      </c>
      <c r="C75" t="n">
        <v>150000</v>
      </c>
      <c r="D75" t="n">
        <v>192308</v>
      </c>
      <c r="E75" t="n">
        <v>118000000</v>
      </c>
      <c r="F75" s="3" t="n">
        <v>0.1773</v>
      </c>
    </row>
    <row r="76">
      <c r="A76" t="inlineStr">
        <is>
          <t>66,000,000~90,000,000원</t>
        </is>
      </c>
      <c r="B76" t="n">
        <v>508.1</v>
      </c>
      <c r="C76" t="n">
        <v>250000</v>
      </c>
      <c r="D76" t="n">
        <v>320513</v>
      </c>
      <c r="E76" t="n">
        <v>162863248</v>
      </c>
      <c r="F76" s="3" t="n">
        <v>0.2447</v>
      </c>
    </row>
    <row r="77">
      <c r="A77" t="inlineStr">
        <is>
          <t>90,000,000~130,000,000원</t>
        </is>
      </c>
      <c r="B77" t="n">
        <v>359</v>
      </c>
      <c r="C77" t="n">
        <v>300000</v>
      </c>
      <c r="D77" t="n">
        <v>384615</v>
      </c>
      <c r="E77" t="n">
        <v>138076923</v>
      </c>
      <c r="F77" s="3" t="n">
        <v>0.2075</v>
      </c>
    </row>
    <row r="78">
      <c r="A78" t="inlineStr">
        <is>
          <t>130,000,000~170,000,000원</t>
        </is>
      </c>
      <c r="B78" t="n">
        <v>67.59999999999999</v>
      </c>
      <c r="C78" t="n">
        <v>600000</v>
      </c>
      <c r="D78" t="n">
        <v>769231</v>
      </c>
      <c r="E78" t="n">
        <v>52000000</v>
      </c>
      <c r="F78" s="3" t="n">
        <v>0.0781</v>
      </c>
    </row>
    <row r="79">
      <c r="A79" t="inlineStr">
        <is>
          <t>170,000,000원 이상</t>
        </is>
      </c>
      <c r="B79" t="n">
        <v>14.4</v>
      </c>
      <c r="C79" t="n">
        <v>1000000</v>
      </c>
      <c r="D79" t="n">
        <v>1282051</v>
      </c>
      <c r="E79" t="n">
        <v>18461538</v>
      </c>
      <c r="F79" s="3" t="n">
        <v>0.0277</v>
      </c>
    </row>
    <row r="80">
      <c r="A80" s="2" t="inlineStr">
        <is>
          <t>합계</t>
        </is>
      </c>
      <c r="B80" s="2">
        <f>SUM(B71:B79)</f>
        <v/>
      </c>
      <c r="E80" s="2">
        <f>SUM(E71:E79)</f>
        <v/>
      </c>
    </row>
    <row r="81"/>
    <row r="82"/>
    <row r="83">
      <c r="A83" s="2" t="inlineStr">
        <is>
          <t>[안3_효율우선]</t>
        </is>
      </c>
    </row>
    <row r="84">
      <c r="A84" s="2" t="inlineStr">
        <is>
          <t>시나리오: 전체(평균) (회차 30)</t>
        </is>
      </c>
    </row>
    <row r="85">
      <c r="A85" s="1" t="inlineStr">
        <is>
          <t>순입금 구간</t>
        </is>
      </c>
      <c r="B85" s="1" t="inlineStr">
        <is>
          <t>인원(회차평균)</t>
        </is>
      </c>
      <c r="C85" s="1" t="inlineStr">
        <is>
          <t>리워드</t>
        </is>
      </c>
      <c r="D85" s="1" t="inlineStr">
        <is>
          <t>1인예산(제세포함)</t>
        </is>
      </c>
      <c r="E85" s="1" t="inlineStr">
        <is>
          <t>소요예산</t>
        </is>
      </c>
      <c r="F85" s="1" t="inlineStr">
        <is>
          <t>예산비중</t>
        </is>
      </c>
    </row>
    <row r="86">
      <c r="A86" t="inlineStr">
        <is>
          <t>5,000,000~10,000,000원</t>
        </is>
      </c>
      <c r="B86" t="n">
        <v>212.7</v>
      </c>
      <c r="C86" t="n">
        <v>20000</v>
      </c>
      <c r="D86" t="n">
        <v>20000</v>
      </c>
      <c r="E86" t="n">
        <v>4254667</v>
      </c>
      <c r="F86" s="3" t="n">
        <v>0.0062</v>
      </c>
    </row>
    <row r="87">
      <c r="A87" t="inlineStr">
        <is>
          <t>10,000,000~15,000,000원</t>
        </is>
      </c>
      <c r="B87" t="n">
        <v>361.1</v>
      </c>
      <c r="C87" t="n">
        <v>30000</v>
      </c>
      <c r="D87" t="n">
        <v>30000</v>
      </c>
      <c r="E87" t="n">
        <v>10834000</v>
      </c>
      <c r="F87" s="3" t="n">
        <v>0.0157</v>
      </c>
    </row>
    <row r="88">
      <c r="A88" t="inlineStr">
        <is>
          <t>15,000,000~30,000,000원</t>
        </is>
      </c>
      <c r="B88" t="n">
        <v>743.3</v>
      </c>
      <c r="C88" t="n">
        <v>50000</v>
      </c>
      <c r="D88" t="n">
        <v>64103</v>
      </c>
      <c r="E88" t="n">
        <v>47645299</v>
      </c>
      <c r="F88" s="3" t="n">
        <v>0.06909999999999999</v>
      </c>
    </row>
    <row r="89">
      <c r="A89" t="inlineStr">
        <is>
          <t>30,000,000~50,000,000원</t>
        </is>
      </c>
      <c r="B89" t="n">
        <v>984.1</v>
      </c>
      <c r="C89" t="n">
        <v>100000</v>
      </c>
      <c r="D89" t="n">
        <v>128205</v>
      </c>
      <c r="E89" t="n">
        <v>126162393</v>
      </c>
      <c r="F89" s="3" t="n">
        <v>0.183</v>
      </c>
    </row>
    <row r="90">
      <c r="A90" t="inlineStr">
        <is>
          <t>50,000,000~66,000,000원</t>
        </is>
      </c>
      <c r="B90" t="n">
        <v>667.9</v>
      </c>
      <c r="C90" t="n">
        <v>150000</v>
      </c>
      <c r="D90" t="n">
        <v>192308</v>
      </c>
      <c r="E90" t="n">
        <v>128448718</v>
      </c>
      <c r="F90" s="3" t="n">
        <v>0.1864</v>
      </c>
    </row>
    <row r="91">
      <c r="A91" t="inlineStr">
        <is>
          <t>66,000,000~90,000,000원</t>
        </is>
      </c>
      <c r="B91" t="n">
        <v>557.4</v>
      </c>
      <c r="C91" t="n">
        <v>200000</v>
      </c>
      <c r="D91" t="n">
        <v>256410</v>
      </c>
      <c r="E91" t="n">
        <v>142914530</v>
      </c>
      <c r="F91" s="3" t="n">
        <v>0.2073</v>
      </c>
    </row>
    <row r="92">
      <c r="A92" t="inlineStr">
        <is>
          <t>90,000,000~130,000,000원</t>
        </is>
      </c>
      <c r="B92" t="n">
        <v>397.2</v>
      </c>
      <c r="C92" t="n">
        <v>300000</v>
      </c>
      <c r="D92" t="n">
        <v>384615</v>
      </c>
      <c r="E92" t="n">
        <v>152769231</v>
      </c>
      <c r="F92" s="3" t="n">
        <v>0.2216</v>
      </c>
    </row>
    <row r="93">
      <c r="A93" t="inlineStr">
        <is>
          <t>130,000,000~170,000,000원</t>
        </is>
      </c>
      <c r="B93" t="n">
        <v>77.7</v>
      </c>
      <c r="C93" t="n">
        <v>550000</v>
      </c>
      <c r="D93" t="n">
        <v>705128</v>
      </c>
      <c r="E93" t="n">
        <v>54811966</v>
      </c>
      <c r="F93" s="3" t="n">
        <v>0.0795</v>
      </c>
    </row>
    <row r="94">
      <c r="A94" t="inlineStr">
        <is>
          <t>170,000,000원 이상</t>
        </is>
      </c>
      <c r="B94" t="n">
        <v>16.7</v>
      </c>
      <c r="C94" t="n">
        <v>1000000</v>
      </c>
      <c r="D94" t="n">
        <v>1282051</v>
      </c>
      <c r="E94" t="n">
        <v>21410256</v>
      </c>
      <c r="F94" s="3" t="n">
        <v>0.0311</v>
      </c>
    </row>
    <row r="95">
      <c r="A95" s="2" t="inlineStr">
        <is>
          <t>합계</t>
        </is>
      </c>
      <c r="B95" s="2">
        <f>SUM(B86:B94)</f>
        <v/>
      </c>
      <c r="E95" s="2">
        <f>SUM(E86:E94)</f>
        <v/>
      </c>
    </row>
    <row r="96"/>
    <row r="97">
      <c r="A97" s="2" t="inlineStr">
        <is>
          <t>시나리오: 흥행 (회차 15)</t>
        </is>
      </c>
    </row>
    <row r="98">
      <c r="A98" s="1" t="inlineStr">
        <is>
          <t>순입금 구간</t>
        </is>
      </c>
      <c r="B98" s="1" t="inlineStr">
        <is>
          <t>인원(회차평균)</t>
        </is>
      </c>
      <c r="C98" s="1" t="inlineStr">
        <is>
          <t>리워드</t>
        </is>
      </c>
      <c r="D98" s="1" t="inlineStr">
        <is>
          <t>1인예산(제세포함)</t>
        </is>
      </c>
      <c r="E98" s="1" t="inlineStr">
        <is>
          <t>소요예산</t>
        </is>
      </c>
      <c r="F98" s="1" t="inlineStr">
        <is>
          <t>예산비중</t>
        </is>
      </c>
    </row>
    <row r="99">
      <c r="A99" t="inlineStr">
        <is>
          <t>5,000,000~10,000,000원</t>
        </is>
      </c>
      <c r="B99" t="n">
        <v>228.4</v>
      </c>
      <c r="C99" t="n">
        <v>20000</v>
      </c>
      <c r="D99" t="n">
        <v>20000</v>
      </c>
      <c r="E99" t="n">
        <v>4568000</v>
      </c>
      <c r="F99" s="3" t="n">
        <v>0.0061</v>
      </c>
    </row>
    <row r="100">
      <c r="A100" t="inlineStr">
        <is>
          <t>10,000,000~15,000,000원</t>
        </is>
      </c>
      <c r="B100" t="n">
        <v>384</v>
      </c>
      <c r="C100" t="n">
        <v>30000</v>
      </c>
      <c r="D100" t="n">
        <v>30000</v>
      </c>
      <c r="E100" t="n">
        <v>11520000</v>
      </c>
      <c r="F100" s="3" t="n">
        <v>0.0154</v>
      </c>
    </row>
    <row r="101">
      <c r="A101" t="inlineStr">
        <is>
          <t>15,000,000~30,000,000원</t>
        </is>
      </c>
      <c r="B101" t="n">
        <v>796.2</v>
      </c>
      <c r="C101" t="n">
        <v>50000</v>
      </c>
      <c r="D101" t="n">
        <v>64103</v>
      </c>
      <c r="E101" t="n">
        <v>51038462</v>
      </c>
      <c r="F101" s="3" t="n">
        <v>0.06809999999999999</v>
      </c>
    </row>
    <row r="102">
      <c r="A102" t="inlineStr">
        <is>
          <t>30,000,000~50,000,000원</t>
        </is>
      </c>
      <c r="B102" t="n">
        <v>1049.2</v>
      </c>
      <c r="C102" t="n">
        <v>100000</v>
      </c>
      <c r="D102" t="n">
        <v>128205</v>
      </c>
      <c r="E102" t="n">
        <v>134512821</v>
      </c>
      <c r="F102" s="3" t="n">
        <v>0.1794</v>
      </c>
    </row>
    <row r="103">
      <c r="A103" t="inlineStr">
        <is>
          <t>50,000,000~66,000,000원</t>
        </is>
      </c>
      <c r="B103" t="n">
        <v>722.3</v>
      </c>
      <c r="C103" t="n">
        <v>150000</v>
      </c>
      <c r="D103" t="n">
        <v>192308</v>
      </c>
      <c r="E103" t="n">
        <v>138897436</v>
      </c>
      <c r="F103" s="3" t="n">
        <v>0.1852</v>
      </c>
    </row>
    <row r="104">
      <c r="A104" t="inlineStr">
        <is>
          <t>66,000,000~90,000,000원</t>
        </is>
      </c>
      <c r="B104" t="n">
        <v>606.6</v>
      </c>
      <c r="C104" t="n">
        <v>200000</v>
      </c>
      <c r="D104" t="n">
        <v>256410</v>
      </c>
      <c r="E104" t="n">
        <v>155538462</v>
      </c>
      <c r="F104" s="3" t="n">
        <v>0.2074</v>
      </c>
    </row>
    <row r="105">
      <c r="A105" t="inlineStr">
        <is>
          <t>90,000,000~130,000,000원</t>
        </is>
      </c>
      <c r="B105" t="n">
        <v>435.4</v>
      </c>
      <c r="C105" t="n">
        <v>300000</v>
      </c>
      <c r="D105" t="n">
        <v>384615</v>
      </c>
      <c r="E105" t="n">
        <v>167461538</v>
      </c>
      <c r="F105" s="3" t="n">
        <v>0.2233</v>
      </c>
    </row>
    <row r="106">
      <c r="A106" t="inlineStr">
        <is>
          <t>130,000,000~170,000,000원</t>
        </is>
      </c>
      <c r="B106" t="n">
        <v>87.90000000000001</v>
      </c>
      <c r="C106" t="n">
        <v>550000</v>
      </c>
      <c r="D106" t="n">
        <v>705128</v>
      </c>
      <c r="E106" t="n">
        <v>61957265</v>
      </c>
      <c r="F106" s="3" t="n">
        <v>0.08260000000000001</v>
      </c>
    </row>
    <row r="107">
      <c r="A107" t="inlineStr">
        <is>
          <t>170,000,000원 이상</t>
        </is>
      </c>
      <c r="B107" t="n">
        <v>19</v>
      </c>
      <c r="C107" t="n">
        <v>1000000</v>
      </c>
      <c r="D107" t="n">
        <v>1282051</v>
      </c>
      <c r="E107" t="n">
        <v>24358974</v>
      </c>
      <c r="F107" s="3" t="n">
        <v>0.0325</v>
      </c>
    </row>
    <row r="108">
      <c r="A108" s="2" t="inlineStr">
        <is>
          <t>합계</t>
        </is>
      </c>
      <c r="B108" s="2">
        <f>SUM(B99:B107)</f>
        <v/>
      </c>
      <c r="E108" s="2">
        <f>SUM(E99:E107)</f>
        <v/>
      </c>
    </row>
    <row r="109"/>
    <row r="110">
      <c r="A110" s="2" t="inlineStr">
        <is>
          <t>시나리오: 비흥행 (회차 15)</t>
        </is>
      </c>
    </row>
    <row r="111">
      <c r="A111" s="1" t="inlineStr">
        <is>
          <t>순입금 구간</t>
        </is>
      </c>
      <c r="B111" s="1" t="inlineStr">
        <is>
          <t>인원(회차평균)</t>
        </is>
      </c>
      <c r="C111" s="1" t="inlineStr">
        <is>
          <t>리워드</t>
        </is>
      </c>
      <c r="D111" s="1" t="inlineStr">
        <is>
          <t>1인예산(제세포함)</t>
        </is>
      </c>
      <c r="E111" s="1" t="inlineStr">
        <is>
          <t>소요예산</t>
        </is>
      </c>
      <c r="F111" s="1" t="inlineStr">
        <is>
          <t>예산비중</t>
        </is>
      </c>
    </row>
    <row r="112">
      <c r="A112" t="inlineStr">
        <is>
          <t>5,000,000~10,000,000원</t>
        </is>
      </c>
      <c r="B112" t="n">
        <v>197.1</v>
      </c>
      <c r="C112" t="n">
        <v>20000</v>
      </c>
      <c r="D112" t="n">
        <v>20000</v>
      </c>
      <c r="E112" t="n">
        <v>3941333</v>
      </c>
      <c r="F112" s="3" t="n">
        <v>0.0063</v>
      </c>
    </row>
    <row r="113">
      <c r="A113" t="inlineStr">
        <is>
          <t>10,000,000~15,000,000원</t>
        </is>
      </c>
      <c r="B113" t="n">
        <v>338.3</v>
      </c>
      <c r="C113" t="n">
        <v>30000</v>
      </c>
      <c r="D113" t="n">
        <v>30000</v>
      </c>
      <c r="E113" t="n">
        <v>10148000</v>
      </c>
      <c r="F113" s="3" t="n">
        <v>0.0161</v>
      </c>
    </row>
    <row r="114">
      <c r="A114" t="inlineStr">
        <is>
          <t>15,000,000~30,000,000원</t>
        </is>
      </c>
      <c r="B114" t="n">
        <v>690.3</v>
      </c>
      <c r="C114" t="n">
        <v>50000</v>
      </c>
      <c r="D114" t="n">
        <v>64103</v>
      </c>
      <c r="E114" t="n">
        <v>44252137</v>
      </c>
      <c r="F114" s="3" t="n">
        <v>0.0704</v>
      </c>
    </row>
    <row r="115">
      <c r="A115" t="inlineStr">
        <is>
          <t>30,000,000~50,000,000원</t>
        </is>
      </c>
      <c r="B115" t="n">
        <v>918.9</v>
      </c>
      <c r="C115" t="n">
        <v>100000</v>
      </c>
      <c r="D115" t="n">
        <v>128205</v>
      </c>
      <c r="E115" t="n">
        <v>117811966</v>
      </c>
      <c r="F115" s="3" t="n">
        <v>0.1874</v>
      </c>
    </row>
    <row r="116">
      <c r="A116" t="inlineStr">
        <is>
          <t>50,000,000~66,000,000원</t>
        </is>
      </c>
      <c r="B116" t="n">
        <v>613.6</v>
      </c>
      <c r="C116" t="n">
        <v>150000</v>
      </c>
      <c r="D116" t="n">
        <v>192308</v>
      </c>
      <c r="E116" t="n">
        <v>118000000</v>
      </c>
      <c r="F116" s="3" t="n">
        <v>0.1877</v>
      </c>
    </row>
    <row r="117">
      <c r="A117" t="inlineStr">
        <is>
          <t>66,000,000~90,000,000원</t>
        </is>
      </c>
      <c r="B117" t="n">
        <v>508.1</v>
      </c>
      <c r="C117" t="n">
        <v>200000</v>
      </c>
      <c r="D117" t="n">
        <v>256410</v>
      </c>
      <c r="E117" t="n">
        <v>130290598</v>
      </c>
      <c r="F117" s="3" t="n">
        <v>0.2073</v>
      </c>
    </row>
    <row r="118">
      <c r="A118" t="inlineStr">
        <is>
          <t>90,000,000~130,000,000원</t>
        </is>
      </c>
      <c r="B118" t="n">
        <v>359</v>
      </c>
      <c r="C118" t="n">
        <v>300000</v>
      </c>
      <c r="D118" t="n">
        <v>384615</v>
      </c>
      <c r="E118" t="n">
        <v>138076923</v>
      </c>
      <c r="F118" s="3" t="n">
        <v>0.2196</v>
      </c>
    </row>
    <row r="119">
      <c r="A119" t="inlineStr">
        <is>
          <t>130,000,000~170,000,000원</t>
        </is>
      </c>
      <c r="B119" t="n">
        <v>67.59999999999999</v>
      </c>
      <c r="C119" t="n">
        <v>550000</v>
      </c>
      <c r="D119" t="n">
        <v>705128</v>
      </c>
      <c r="E119" t="n">
        <v>47666667</v>
      </c>
      <c r="F119" s="3" t="n">
        <v>0.07580000000000001</v>
      </c>
    </row>
    <row r="120">
      <c r="A120" t="inlineStr">
        <is>
          <t>170,000,000원 이상</t>
        </is>
      </c>
      <c r="B120" t="n">
        <v>14.4</v>
      </c>
      <c r="C120" t="n">
        <v>1000000</v>
      </c>
      <c r="D120" t="n">
        <v>1282051</v>
      </c>
      <c r="E120" t="n">
        <v>18461538</v>
      </c>
      <c r="F120" s="3" t="n">
        <v>0.0294</v>
      </c>
    </row>
    <row r="121">
      <c r="A121" s="2" t="inlineStr">
        <is>
          <t>합계</t>
        </is>
      </c>
      <c r="B121" s="2">
        <f>SUM(B112:B120)</f>
        <v/>
      </c>
      <c r="E121" s="2">
        <f>SUM(E112:E120)</f>
        <v/>
      </c>
    </row>
    <row r="122"/>
    <row r="123"/>
    <row r="124">
      <c r="A124" t="inlineStr">
        <is>
          <t>주: 탄력성 미반영(신청자 유지 가정) 보수적 집계. 모델 추정 예산은 '케이스비교' 시트 참조. 예산 확보는 worst-case 기준 권고.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</cols>
  <sheetData>
    <row r="1">
      <c r="A1" s="1" t="inlineStr">
        <is>
          <t>예산_평균(원)</t>
        </is>
      </c>
      <c r="B1" s="1" t="inlineStr">
        <is>
          <t>유치이전금액_평균(원)</t>
        </is>
      </c>
      <c r="C1" s="1" t="inlineStr">
        <is>
          <t>효율_배</t>
        </is>
      </c>
      <c r="D1" s="1" t="inlineStr">
        <is>
          <t>매력도지수</t>
        </is>
      </c>
    </row>
    <row r="2">
      <c r="A2" t="n">
        <v>126809087</v>
      </c>
      <c r="B2" t="n">
        <v>113609173389</v>
      </c>
      <c r="C2" t="n">
        <v>895.9</v>
      </c>
      <c r="D2" t="n">
        <v>0.5698</v>
      </c>
    </row>
    <row r="3">
      <c r="A3" t="n">
        <v>141510287</v>
      </c>
      <c r="B3" t="n">
        <v>117102310353</v>
      </c>
      <c r="C3" t="n">
        <v>827.5</v>
      </c>
      <c r="D3" t="n">
        <v>0.5874</v>
      </c>
    </row>
    <row r="4">
      <c r="A4" t="n">
        <v>155225557</v>
      </c>
      <c r="B4" t="n">
        <v>119711552979</v>
      </c>
      <c r="C4" t="n">
        <v>771.2</v>
      </c>
      <c r="D4" t="n">
        <v>0.6005</v>
      </c>
    </row>
    <row r="5">
      <c r="A5" t="n">
        <v>185974063</v>
      </c>
      <c r="B5" t="n">
        <v>124297402813</v>
      </c>
      <c r="C5" t="n">
        <v>668.4</v>
      </c>
      <c r="D5" t="n">
        <v>0.6235000000000001</v>
      </c>
    </row>
    <row r="6">
      <c r="A6" t="n">
        <v>200675263</v>
      </c>
      <c r="B6" t="n">
        <v>127790539777</v>
      </c>
      <c r="C6" t="n">
        <v>636.8</v>
      </c>
      <c r="D6" t="n">
        <v>0.641</v>
      </c>
    </row>
    <row r="7">
      <c r="A7" t="n">
        <v>202526199</v>
      </c>
      <c r="B7" t="n">
        <v>127799592764</v>
      </c>
      <c r="C7" t="n">
        <v>631</v>
      </c>
      <c r="D7" t="n">
        <v>0.641</v>
      </c>
    </row>
    <row r="8">
      <c r="A8" t="n">
        <v>202925265</v>
      </c>
      <c r="B8" t="n">
        <v>127847560026</v>
      </c>
      <c r="C8" t="n">
        <v>630</v>
      </c>
      <c r="D8" t="n">
        <v>0.6412</v>
      </c>
    </row>
    <row r="9">
      <c r="A9" t="n">
        <v>203372203</v>
      </c>
      <c r="B9" t="n">
        <v>127905546737</v>
      </c>
      <c r="C9" t="n">
        <v>628.9</v>
      </c>
      <c r="D9" t="n">
        <v>0.6415</v>
      </c>
    </row>
    <row r="10">
      <c r="A10" t="n">
        <v>204442342</v>
      </c>
      <c r="B10" t="n">
        <v>128050802262</v>
      </c>
      <c r="C10" t="n">
        <v>626.3</v>
      </c>
      <c r="D10" t="n">
        <v>0.6423</v>
      </c>
    </row>
    <row r="11">
      <c r="A11" t="n">
        <v>205684188</v>
      </c>
      <c r="B11" t="n">
        <v>128266593257</v>
      </c>
      <c r="C11" t="n">
        <v>623.6</v>
      </c>
      <c r="D11" t="n">
        <v>0.6434</v>
      </c>
    </row>
    <row r="12">
      <c r="A12" t="n">
        <v>214390533</v>
      </c>
      <c r="B12" t="n">
        <v>130399782403</v>
      </c>
      <c r="C12" t="n">
        <v>608.2</v>
      </c>
      <c r="D12" t="n">
        <v>0.6542</v>
      </c>
    </row>
    <row r="13">
      <c r="A13" t="n">
        <v>214867542</v>
      </c>
      <c r="B13" t="n">
        <v>130921663758</v>
      </c>
      <c r="C13" t="n">
        <v>609.3</v>
      </c>
      <c r="D13" t="n">
        <v>0.6567</v>
      </c>
    </row>
    <row r="14">
      <c r="A14" t="n">
        <v>217227399</v>
      </c>
      <c r="B14" t="n">
        <v>131292729728</v>
      </c>
      <c r="C14" t="n">
        <v>604.4</v>
      </c>
      <c r="D14" t="n">
        <v>0.6586</v>
      </c>
    </row>
    <row r="15">
      <c r="A15" t="n">
        <v>217626465</v>
      </c>
      <c r="B15" t="n">
        <v>131340696989</v>
      </c>
      <c r="C15" t="n">
        <v>603.5</v>
      </c>
      <c r="D15" t="n">
        <v>0.6588000000000001</v>
      </c>
    </row>
    <row r="16">
      <c r="A16" t="n">
        <v>218073403</v>
      </c>
      <c r="B16" t="n">
        <v>131398683700</v>
      </c>
      <c r="C16" t="n">
        <v>602.5</v>
      </c>
      <c r="D16" t="n">
        <v>0.6591</v>
      </c>
    </row>
    <row r="17">
      <c r="A17" t="n">
        <v>219143542</v>
      </c>
      <c r="B17" t="n">
        <v>131543939226</v>
      </c>
      <c r="C17" t="n">
        <v>600.3</v>
      </c>
      <c r="D17" t="n">
        <v>0.6598000000000001</v>
      </c>
    </row>
    <row r="18">
      <c r="A18" t="n">
        <v>225163814</v>
      </c>
      <c r="B18" t="n">
        <v>132003682349</v>
      </c>
      <c r="C18" t="n">
        <v>586.3</v>
      </c>
      <c r="D18" t="n">
        <v>0.662</v>
      </c>
    </row>
    <row r="19">
      <c r="A19" t="n">
        <v>226114365</v>
      </c>
      <c r="B19" t="n">
        <v>132129734750</v>
      </c>
      <c r="C19" t="n">
        <v>584.3</v>
      </c>
      <c r="D19" t="n">
        <v>0.6627</v>
      </c>
    </row>
    <row r="20">
      <c r="A20" t="n">
        <v>226680891</v>
      </c>
      <c r="B20" t="n">
        <v>132206924585</v>
      </c>
      <c r="C20" t="n">
        <v>583.2</v>
      </c>
      <c r="D20" t="n">
        <v>0.6631</v>
      </c>
    </row>
    <row r="21">
      <c r="A21" t="n">
        <v>227312096</v>
      </c>
      <c r="B21" t="n">
        <v>132291113766</v>
      </c>
      <c r="C21" t="n">
        <v>582</v>
      </c>
      <c r="D21" t="n">
        <v>0.6635</v>
      </c>
    </row>
    <row r="22">
      <c r="A22" t="n">
        <v>229439814</v>
      </c>
      <c r="B22" t="n">
        <v>132625957817</v>
      </c>
      <c r="C22" t="n">
        <v>578</v>
      </c>
      <c r="D22" t="n">
        <v>0.6652</v>
      </c>
    </row>
    <row r="23">
      <c r="A23" t="n">
        <v>230942668</v>
      </c>
      <c r="B23" t="n">
        <v>133901972355</v>
      </c>
      <c r="C23" t="n">
        <v>579.8</v>
      </c>
      <c r="D23" t="n">
        <v>0.6717</v>
      </c>
    </row>
    <row r="24">
      <c r="A24" t="n">
        <v>231341734</v>
      </c>
      <c r="B24" t="n">
        <v>133949939616</v>
      </c>
      <c r="C24" t="n">
        <v>579</v>
      </c>
      <c r="D24" t="n">
        <v>0.6719000000000001</v>
      </c>
    </row>
    <row r="25">
      <c r="A25" t="n">
        <v>231788672</v>
      </c>
      <c r="B25" t="n">
        <v>134007926327</v>
      </c>
      <c r="C25" t="n">
        <v>578.1</v>
      </c>
      <c r="D25" t="n">
        <v>0.6722</v>
      </c>
    </row>
    <row r="26">
      <c r="A26" t="n">
        <v>232858811</v>
      </c>
      <c r="B26" t="n">
        <v>134153181852</v>
      </c>
      <c r="C26" t="n">
        <v>576.1</v>
      </c>
      <c r="D26" t="n">
        <v>0.6729000000000001</v>
      </c>
    </row>
    <row r="27">
      <c r="A27" t="n">
        <v>238623168</v>
      </c>
      <c r="B27" t="n">
        <v>135281028318</v>
      </c>
      <c r="C27" t="n">
        <v>566.9</v>
      </c>
      <c r="D27" t="n">
        <v>0.6785</v>
      </c>
    </row>
    <row r="28">
      <c r="A28" t="n">
        <v>239865014</v>
      </c>
      <c r="B28" t="n">
        <v>135496819313</v>
      </c>
      <c r="C28" t="n">
        <v>564.9</v>
      </c>
      <c r="D28" t="n">
        <v>0.6796</v>
      </c>
    </row>
    <row r="29">
      <c r="A29" t="n">
        <v>240815565</v>
      </c>
      <c r="B29" t="n">
        <v>135622871714</v>
      </c>
      <c r="C29" t="n">
        <v>563.2</v>
      </c>
      <c r="D29" t="n">
        <v>0.6802</v>
      </c>
    </row>
    <row r="30">
      <c r="A30" t="n">
        <v>241382091</v>
      </c>
      <c r="B30" t="n">
        <v>135700061549</v>
      </c>
      <c r="C30" t="n">
        <v>562.2</v>
      </c>
      <c r="D30" t="n">
        <v>0.6806</v>
      </c>
    </row>
    <row r="31">
      <c r="A31" t="n">
        <v>242013296</v>
      </c>
      <c r="B31" t="n">
        <v>135784250730</v>
      </c>
      <c r="C31" t="n">
        <v>561.1</v>
      </c>
      <c r="D31" t="n">
        <v>0.681</v>
      </c>
    </row>
    <row r="32">
      <c r="A32" t="n">
        <v>250890874</v>
      </c>
      <c r="B32" t="n">
        <v>136716561008</v>
      </c>
      <c r="C32" t="n">
        <v>544.9</v>
      </c>
      <c r="D32" t="n">
        <v>0.6857</v>
      </c>
    </row>
    <row r="33">
      <c r="A33" t="n">
        <v>253580283</v>
      </c>
      <c r="B33" t="n">
        <v>138106061939</v>
      </c>
      <c r="C33" t="n">
        <v>544.6</v>
      </c>
      <c r="D33" t="n">
        <v>0.6927</v>
      </c>
    </row>
    <row r="34">
      <c r="A34" t="n">
        <v>254530834</v>
      </c>
      <c r="B34" t="n">
        <v>138232114340</v>
      </c>
      <c r="C34" t="n">
        <v>543.1</v>
      </c>
      <c r="D34" t="n">
        <v>0.6933</v>
      </c>
    </row>
    <row r="35">
      <c r="A35" t="n">
        <v>255097360</v>
      </c>
      <c r="B35" t="n">
        <v>138309304176</v>
      </c>
      <c r="C35" t="n">
        <v>542.2</v>
      </c>
      <c r="D35" t="n">
        <v>0.6937</v>
      </c>
    </row>
    <row r="36">
      <c r="A36" t="n">
        <v>255728565</v>
      </c>
      <c r="B36" t="n">
        <v>138393493356</v>
      </c>
      <c r="C36" t="n">
        <v>541.2</v>
      </c>
      <c r="D36" t="n">
        <v>0.6942</v>
      </c>
    </row>
    <row r="37">
      <c r="A37" t="n">
        <v>265676206</v>
      </c>
      <c r="B37" t="n">
        <v>138986215847</v>
      </c>
      <c r="C37" t="n">
        <v>523.1</v>
      </c>
      <c r="D37" t="n">
        <v>0.6971000000000001</v>
      </c>
    </row>
    <row r="38">
      <c r="A38" t="n">
        <v>267741841</v>
      </c>
      <c r="B38" t="n">
        <v>139246417412</v>
      </c>
      <c r="C38" t="n">
        <v>520.1</v>
      </c>
      <c r="D38" t="n">
        <v>0.6984</v>
      </c>
    </row>
    <row r="39">
      <c r="A39" t="n">
        <v>272325298</v>
      </c>
      <c r="B39" t="n">
        <v>140073497565</v>
      </c>
      <c r="C39" t="n">
        <v>514.4</v>
      </c>
      <c r="D39" t="n">
        <v>0.7026</v>
      </c>
    </row>
    <row r="40">
      <c r="A40" t="n">
        <v>279391475</v>
      </c>
      <c r="B40" t="n">
        <v>141595458473</v>
      </c>
      <c r="C40" t="n">
        <v>506.8</v>
      </c>
      <c r="D40" t="n">
        <v>0.7102000000000001</v>
      </c>
    </row>
    <row r="41">
      <c r="A41" t="n">
        <v>281457110</v>
      </c>
      <c r="B41" t="n">
        <v>141855660039</v>
      </c>
      <c r="C41" t="n">
        <v>504</v>
      </c>
      <c r="D41" t="n">
        <v>0.7115</v>
      </c>
    </row>
    <row r="42">
      <c r="A42" t="n">
        <v>286427210</v>
      </c>
      <c r="B42" t="n">
        <v>143161163745</v>
      </c>
      <c r="C42" t="n">
        <v>499.8</v>
      </c>
      <c r="D42" t="n">
        <v>0.7181999999999999</v>
      </c>
    </row>
    <row r="43">
      <c r="A43" t="n">
        <v>295931504</v>
      </c>
      <c r="B43" t="n">
        <v>145022313898</v>
      </c>
      <c r="C43" t="n">
        <v>490.1</v>
      </c>
      <c r="D43" t="n">
        <v>0.7276</v>
      </c>
    </row>
    <row r="44">
      <c r="A44" t="n">
        <v>302640962</v>
      </c>
      <c r="B44" t="n">
        <v>145730834459</v>
      </c>
      <c r="C44" t="n">
        <v>481.5</v>
      </c>
      <c r="D44" t="n">
        <v>0.7311</v>
      </c>
    </row>
    <row r="45">
      <c r="A45" t="n">
        <v>332373815</v>
      </c>
      <c r="B45" t="n">
        <v>145971911604</v>
      </c>
      <c r="C45" t="n">
        <v>439.2</v>
      </c>
      <c r="D45" t="n">
        <v>0.7322</v>
      </c>
    </row>
    <row r="46">
      <c r="A46" t="n">
        <v>332772881</v>
      </c>
      <c r="B46" t="n">
        <v>146019878865</v>
      </c>
      <c r="C46" t="n">
        <v>438.8</v>
      </c>
      <c r="D46" t="n">
        <v>0.7324000000000001</v>
      </c>
    </row>
    <row r="47">
      <c r="A47" t="n">
        <v>333219819</v>
      </c>
      <c r="B47" t="n">
        <v>146077865576</v>
      </c>
      <c r="C47" t="n">
        <v>438.4</v>
      </c>
      <c r="D47" t="n">
        <v>0.7327</v>
      </c>
    </row>
    <row r="48">
      <c r="A48" t="n">
        <v>334289958</v>
      </c>
      <c r="B48" t="n">
        <v>146223121101</v>
      </c>
      <c r="C48" t="n">
        <v>437.4</v>
      </c>
      <c r="D48" t="n">
        <v>0.7334000000000001</v>
      </c>
    </row>
    <row r="49">
      <c r="A49" t="n">
        <v>339492303</v>
      </c>
      <c r="B49" t="n">
        <v>152876568920</v>
      </c>
      <c r="C49" t="n">
        <v>450.3</v>
      </c>
      <c r="D49" t="n">
        <v>0.7669</v>
      </c>
    </row>
    <row r="50">
      <c r="A50" t="n">
        <v>342625080</v>
      </c>
      <c r="B50" t="n">
        <v>153244145680</v>
      </c>
      <c r="C50" t="n">
        <v>447.3</v>
      </c>
      <c r="D50" t="n">
        <v>0.7687</v>
      </c>
    </row>
    <row r="51">
      <c r="A51" t="n">
        <v>343470682</v>
      </c>
      <c r="B51" t="n">
        <v>153476936338</v>
      </c>
      <c r="C51" t="n">
        <v>446.8</v>
      </c>
      <c r="D51" t="n">
        <v>0.7699</v>
      </c>
    </row>
    <row r="52">
      <c r="A52" t="n">
        <v>344120823</v>
      </c>
      <c r="B52" t="n">
        <v>153563651194</v>
      </c>
      <c r="C52" t="n">
        <v>446.2</v>
      </c>
      <c r="D52" t="n">
        <v>0.7703</v>
      </c>
    </row>
    <row r="53">
      <c r="A53" t="n">
        <v>344833424</v>
      </c>
      <c r="B53" t="n">
        <v>153654297572</v>
      </c>
      <c r="C53" t="n">
        <v>445.6</v>
      </c>
      <c r="D53" t="n">
        <v>0.7708</v>
      </c>
    </row>
    <row r="54">
      <c r="A54" t="n">
        <v>346879746</v>
      </c>
      <c r="B54" t="n">
        <v>153982684425</v>
      </c>
      <c r="C54" t="n">
        <v>443.9</v>
      </c>
      <c r="D54" t="n">
        <v>0.7724</v>
      </c>
    </row>
    <row r="55">
      <c r="A55" t="n">
        <v>348996597</v>
      </c>
      <c r="B55" t="n">
        <v>154737719073</v>
      </c>
      <c r="C55" t="n">
        <v>443.4</v>
      </c>
      <c r="D55" t="n">
        <v>0.7763</v>
      </c>
    </row>
    <row r="56">
      <c r="A56" t="n">
        <v>350866195</v>
      </c>
      <c r="B56" t="n">
        <v>155005768116</v>
      </c>
      <c r="C56" t="n">
        <v>441.8</v>
      </c>
      <c r="D56" t="n">
        <v>0.7776</v>
      </c>
    </row>
    <row r="57">
      <c r="A57" t="n">
        <v>352974977</v>
      </c>
      <c r="B57" t="n">
        <v>155338086491</v>
      </c>
      <c r="C57" t="n">
        <v>440.1</v>
      </c>
      <c r="D57" t="n">
        <v>0.7793</v>
      </c>
    </row>
    <row r="58">
      <c r="A58" t="n">
        <v>353625118</v>
      </c>
      <c r="B58" t="n">
        <v>155424801347</v>
      </c>
      <c r="C58" t="n">
        <v>439.5</v>
      </c>
      <c r="D58" t="n">
        <v>0.7796999999999999</v>
      </c>
    </row>
    <row r="59">
      <c r="A59" t="n">
        <v>354337719</v>
      </c>
      <c r="B59" t="n">
        <v>155515447725</v>
      </c>
      <c r="C59" t="n">
        <v>438.9</v>
      </c>
      <c r="D59" t="n">
        <v>0.7801</v>
      </c>
    </row>
    <row r="60">
      <c r="A60" t="n">
        <v>359009847</v>
      </c>
      <c r="B60" t="n">
        <v>156163888494</v>
      </c>
      <c r="C60" t="n">
        <v>435</v>
      </c>
      <c r="D60" t="n">
        <v>0.7834</v>
      </c>
    </row>
    <row r="61">
      <c r="A61" t="n">
        <v>361047177</v>
      </c>
      <c r="B61" t="n">
        <v>156223968287</v>
      </c>
      <c r="C61" t="n">
        <v>432.7</v>
      </c>
      <c r="D61" t="n">
        <v>0.7837</v>
      </c>
    </row>
    <row r="62">
      <c r="A62" t="n">
        <v>365719304</v>
      </c>
      <c r="B62" t="n">
        <v>156872409056</v>
      </c>
      <c r="C62" t="n">
        <v>428.9</v>
      </c>
      <c r="D62" t="n">
        <v>0.787</v>
      </c>
    </row>
    <row r="63">
      <c r="A63" t="n">
        <v>375493460</v>
      </c>
      <c r="B63" t="n">
        <v>157617482870</v>
      </c>
      <c r="C63" t="n">
        <v>419.8</v>
      </c>
      <c r="D63" t="n">
        <v>0.7907</v>
      </c>
    </row>
    <row r="64">
      <c r="A64" t="n">
        <v>382202917</v>
      </c>
      <c r="B64" t="n">
        <v>158326003432</v>
      </c>
      <c r="C64" t="n">
        <v>414.2</v>
      </c>
      <c r="D64" t="n">
        <v>0.7943</v>
      </c>
    </row>
    <row r="65">
      <c r="A65" t="n">
        <v>395636058</v>
      </c>
      <c r="B65" t="n">
        <v>158528673077</v>
      </c>
      <c r="C65" t="n">
        <v>400.7</v>
      </c>
      <c r="D65" t="n">
        <v>0.7953</v>
      </c>
    </row>
    <row r="66">
      <c r="A66" t="n">
        <v>420265188</v>
      </c>
      <c r="B66" t="n">
        <v>158611672663</v>
      </c>
      <c r="C66" t="n">
        <v>377.4</v>
      </c>
      <c r="D66" t="n">
        <v>0.7955</v>
      </c>
    </row>
    <row r="67">
      <c r="A67" t="n">
        <v>421153351</v>
      </c>
      <c r="B67" t="n">
        <v>165503331831</v>
      </c>
      <c r="C67" t="n">
        <v>393</v>
      </c>
      <c r="D67" t="n">
        <v>0.8300999999999999</v>
      </c>
    </row>
    <row r="68">
      <c r="A68" t="n">
        <v>430657646</v>
      </c>
      <c r="B68" t="n">
        <v>167364481984</v>
      </c>
      <c r="C68" t="n">
        <v>388.6</v>
      </c>
      <c r="D68" t="n">
        <v>0.8395</v>
      </c>
    </row>
    <row r="69">
      <c r="A69" t="n">
        <v>437367103</v>
      </c>
      <c r="B69" t="n">
        <v>168073002546</v>
      </c>
      <c r="C69" t="n">
        <v>384.3</v>
      </c>
      <c r="D69" t="n">
        <v>0.8431</v>
      </c>
    </row>
    <row r="70">
      <c r="A70" t="n">
        <v>451977344</v>
      </c>
      <c r="B70" t="n">
        <v>169821769941</v>
      </c>
      <c r="C70" t="n">
        <v>375.7</v>
      </c>
      <c r="D70" t="n">
        <v>0.8518</v>
      </c>
    </row>
    <row r="71">
      <c r="A71" t="n">
        <v>458686802</v>
      </c>
      <c r="B71" t="n">
        <v>170530290502</v>
      </c>
      <c r="C71" t="n">
        <v>371.8</v>
      </c>
      <c r="D71" t="n">
        <v>0.8554</v>
      </c>
    </row>
    <row r="72">
      <c r="A72" t="n">
        <v>473845686</v>
      </c>
      <c r="B72" t="n">
        <v>172014451463</v>
      </c>
      <c r="C72" t="n">
        <v>363</v>
      </c>
      <c r="D72" t="n">
        <v>0.8628</v>
      </c>
    </row>
    <row r="73">
      <c r="A73" t="n">
        <v>480555144</v>
      </c>
      <c r="B73" t="n">
        <v>172722972025</v>
      </c>
      <c r="C73" t="n">
        <v>359.4</v>
      </c>
      <c r="D73" t="n">
        <v>0.8663999999999999</v>
      </c>
    </row>
    <row r="74">
      <c r="A74" t="n">
        <v>493988285</v>
      </c>
      <c r="B74" t="n">
        <v>172925641671</v>
      </c>
      <c r="C74" t="n">
        <v>350.1</v>
      </c>
      <c r="D74" t="n">
        <v>0.8673999999999999</v>
      </c>
    </row>
    <row r="75">
      <c r="A75" t="n">
        <v>515301223</v>
      </c>
      <c r="B75" t="n">
        <v>175259767784</v>
      </c>
      <c r="C75" t="n">
        <v>340.1</v>
      </c>
      <c r="D75" t="n">
        <v>0.8791</v>
      </c>
    </row>
    <row r="76">
      <c r="A76" t="n">
        <v>526091925</v>
      </c>
      <c r="B76" t="n">
        <v>175342675766</v>
      </c>
      <c r="C76" t="n">
        <v>333.3</v>
      </c>
      <c r="D76" t="n">
        <v>0.8794999999999999</v>
      </c>
    </row>
    <row r="77">
      <c r="A77" t="n">
        <v>533638045</v>
      </c>
      <c r="B77" t="n">
        <v>176699130431</v>
      </c>
      <c r="C77" t="n">
        <v>331.1</v>
      </c>
      <c r="D77" t="n">
        <v>0.8863</v>
      </c>
    </row>
    <row r="78">
      <c r="A78" t="n">
        <v>535468155</v>
      </c>
      <c r="B78" t="n">
        <v>176884154112</v>
      </c>
      <c r="C78" t="n">
        <v>330.3</v>
      </c>
      <c r="D78" t="n">
        <v>0.8872</v>
      </c>
    </row>
    <row r="79">
      <c r="A79" t="n">
        <v>538399755</v>
      </c>
      <c r="B79" t="n">
        <v>177159691119</v>
      </c>
      <c r="C79" t="n">
        <v>329</v>
      </c>
      <c r="D79" t="n">
        <v>0.8885999999999999</v>
      </c>
    </row>
    <row r="80">
      <c r="A80" t="n">
        <v>540748023</v>
      </c>
      <c r="B80" t="n">
        <v>177208551413</v>
      </c>
      <c r="C80" t="n">
        <v>327.7</v>
      </c>
      <c r="D80" t="n">
        <v>0.8889</v>
      </c>
    </row>
    <row r="81">
      <c r="A81" t="n">
        <v>541305980</v>
      </c>
      <c r="B81" t="n">
        <v>177385057500</v>
      </c>
      <c r="C81" t="n">
        <v>327.7</v>
      </c>
      <c r="D81" t="n">
        <v>0.8898</v>
      </c>
    </row>
    <row r="82">
      <c r="A82" t="n">
        <v>546320066</v>
      </c>
      <c r="B82" t="n">
        <v>177895029971</v>
      </c>
      <c r="C82" t="n">
        <v>325.6</v>
      </c>
      <c r="D82" t="n">
        <v>0.8922</v>
      </c>
    </row>
    <row r="83">
      <c r="A83" t="n">
        <v>553602342</v>
      </c>
      <c r="B83" t="n">
        <v>178195451613</v>
      </c>
      <c r="C83" t="n">
        <v>321.9</v>
      </c>
      <c r="D83" t="n">
        <v>0.8938</v>
      </c>
    </row>
    <row r="84">
      <c r="A84" t="n">
        <v>555824361</v>
      </c>
      <c r="B84" t="n">
        <v>179756180124</v>
      </c>
      <c r="C84" t="n">
        <v>323.4</v>
      </c>
      <c r="D84" t="n">
        <v>0.9016</v>
      </c>
    </row>
    <row r="85">
      <c r="A85" t="n">
        <v>562533818</v>
      </c>
      <c r="B85" t="n">
        <v>180464700686</v>
      </c>
      <c r="C85" t="n">
        <v>320.8</v>
      </c>
      <c r="D85" t="n">
        <v>0.9051</v>
      </c>
    </row>
    <row r="86">
      <c r="A86" t="n">
        <v>579957921</v>
      </c>
      <c r="B86" t="n">
        <v>180634228726</v>
      </c>
      <c r="C86" t="n">
        <v>311.5</v>
      </c>
      <c r="D86" t="n">
        <v>0.9061</v>
      </c>
    </row>
    <row r="87">
      <c r="A87" t="n">
        <v>584560299</v>
      </c>
      <c r="B87" t="n">
        <v>180911439302</v>
      </c>
      <c r="C87" t="n">
        <v>309.5</v>
      </c>
      <c r="D87" t="n">
        <v>0.9075</v>
      </c>
    </row>
    <row r="88">
      <c r="A88" t="n">
        <v>585227554</v>
      </c>
      <c r="B88" t="n">
        <v>181160837155</v>
      </c>
      <c r="C88" t="n">
        <v>309.6</v>
      </c>
      <c r="D88" t="n">
        <v>0.9087</v>
      </c>
    </row>
    <row r="89">
      <c r="A89" t="n">
        <v>586056043</v>
      </c>
      <c r="B89" t="n">
        <v>181230944816</v>
      </c>
      <c r="C89" t="n">
        <v>309.2</v>
      </c>
      <c r="D89" t="n">
        <v>0.9091</v>
      </c>
    </row>
    <row r="90">
      <c r="A90" t="n">
        <v>586877069</v>
      </c>
      <c r="B90" t="n">
        <v>181290671128</v>
      </c>
      <c r="C90" t="n">
        <v>308.9</v>
      </c>
      <c r="D90" t="n">
        <v>0.9094</v>
      </c>
    </row>
    <row r="91">
      <c r="A91" t="n">
        <v>588814966</v>
      </c>
      <c r="B91" t="n">
        <v>181649978047</v>
      </c>
      <c r="C91" t="n">
        <v>308.5</v>
      </c>
      <c r="D91" t="n">
        <v>0.9112</v>
      </c>
    </row>
    <row r="92">
      <c r="A92" t="n">
        <v>589462215</v>
      </c>
      <c r="B92" t="n">
        <v>182495378879</v>
      </c>
      <c r="C92" t="n">
        <v>309.6</v>
      </c>
      <c r="D92" t="n">
        <v>0.9155</v>
      </c>
    </row>
    <row r="93">
      <c r="A93" t="n">
        <v>592801414</v>
      </c>
      <c r="B93" t="n">
        <v>182673061738</v>
      </c>
      <c r="C93" t="n">
        <v>308.2</v>
      </c>
      <c r="D93" t="n">
        <v>0.9163</v>
      </c>
    </row>
    <row r="94">
      <c r="A94" t="n">
        <v>594731849</v>
      </c>
      <c r="B94" t="n">
        <v>183021987308</v>
      </c>
      <c r="C94" t="n">
        <v>307.7</v>
      </c>
      <c r="D94" t="n">
        <v>0.9181</v>
      </c>
    </row>
    <row r="95">
      <c r="A95" t="n">
        <v>595560338</v>
      </c>
      <c r="B95" t="n">
        <v>183092094969</v>
      </c>
      <c r="C95" t="n">
        <v>307.4</v>
      </c>
      <c r="D95" t="n">
        <v>0.9184</v>
      </c>
    </row>
    <row r="96">
      <c r="A96" t="n">
        <v>596171673</v>
      </c>
      <c r="B96" t="n">
        <v>183203899441</v>
      </c>
      <c r="C96" t="n">
        <v>307.3</v>
      </c>
      <c r="D96" t="n">
        <v>0.919</v>
      </c>
    </row>
    <row r="97">
      <c r="A97" t="n">
        <v>601441307</v>
      </c>
      <c r="B97" t="n">
        <v>183730507870</v>
      </c>
      <c r="C97" t="n">
        <v>305.5</v>
      </c>
      <c r="D97" t="n">
        <v>0.9217</v>
      </c>
    </row>
    <row r="98">
      <c r="A98" t="n">
        <v>602269795</v>
      </c>
      <c r="B98" t="n">
        <v>183800615531</v>
      </c>
      <c r="C98" t="n">
        <v>305.2</v>
      </c>
      <c r="D98" t="n">
        <v>0.922</v>
      </c>
    </row>
    <row r="99">
      <c r="A99" t="n">
        <v>603090822</v>
      </c>
      <c r="B99" t="n">
        <v>183860341843</v>
      </c>
      <c r="C99" t="n">
        <v>304.9</v>
      </c>
      <c r="D99" t="n">
        <v>0.9223</v>
      </c>
    </row>
    <row r="100">
      <c r="A100" t="n">
        <v>608283580</v>
      </c>
      <c r="B100" t="n">
        <v>184258602832</v>
      </c>
      <c r="C100" t="n">
        <v>302.9</v>
      </c>
      <c r="D100" t="n">
        <v>0.9243</v>
      </c>
    </row>
    <row r="101">
      <c r="A101" t="n">
        <v>621716721</v>
      </c>
      <c r="B101" t="n">
        <v>184461272478</v>
      </c>
      <c r="C101" t="n">
        <v>296.7</v>
      </c>
      <c r="D101" t="n">
        <v>0.9253</v>
      </c>
    </row>
    <row r="102">
      <c r="A102" t="n">
        <v>634006164</v>
      </c>
      <c r="B102" t="n">
        <v>184748240782</v>
      </c>
      <c r="C102" t="n">
        <v>291.4</v>
      </c>
      <c r="D102" t="n">
        <v>0.9266</v>
      </c>
    </row>
    <row r="103">
      <c r="A103" t="n">
        <v>638770707</v>
      </c>
      <c r="B103" t="n">
        <v>184942362628</v>
      </c>
      <c r="C103" t="n">
        <v>289.5</v>
      </c>
      <c r="D103" t="n">
        <v>0.9276</v>
      </c>
    </row>
    <row r="104">
      <c r="A104" t="n">
        <v>639510121</v>
      </c>
      <c r="B104" t="n">
        <v>184966958748</v>
      </c>
      <c r="C104" t="n">
        <v>289.2</v>
      </c>
      <c r="D104" t="n">
        <v>0.9277</v>
      </c>
    </row>
    <row r="105">
      <c r="A105" t="n">
        <v>641858390</v>
      </c>
      <c r="B105" t="n">
        <v>185015819043</v>
      </c>
      <c r="C105" t="n">
        <v>288.3</v>
      </c>
      <c r="D105" t="n">
        <v>0.9278999999999999</v>
      </c>
    </row>
    <row r="106">
      <c r="A106" t="n">
        <v>644768157</v>
      </c>
      <c r="B106" t="n">
        <v>185108545563</v>
      </c>
      <c r="C106" t="n">
        <v>287.1</v>
      </c>
      <c r="D106" t="n">
        <v>0.9284</v>
      </c>
    </row>
    <row r="107">
      <c r="A107" t="n">
        <v>647459674</v>
      </c>
      <c r="B107" t="n">
        <v>186685528990</v>
      </c>
      <c r="C107" t="n">
        <v>288.3</v>
      </c>
      <c r="D107" t="n">
        <v>0.9364</v>
      </c>
    </row>
    <row r="108">
      <c r="A108" t="n">
        <v>661378463</v>
      </c>
      <c r="B108" t="n">
        <v>187159640271</v>
      </c>
      <c r="C108" t="n">
        <v>283</v>
      </c>
      <c r="D108" t="n">
        <v>0.9387</v>
      </c>
    </row>
    <row r="109">
      <c r="A109" t="n">
        <v>668696871</v>
      </c>
      <c r="B109" t="n">
        <v>189958074912</v>
      </c>
      <c r="C109" t="n">
        <v>284.1</v>
      </c>
      <c r="D109" t="n">
        <v>0.9528</v>
      </c>
    </row>
    <row r="110">
      <c r="A110" t="n">
        <v>678201166</v>
      </c>
      <c r="B110" t="n">
        <v>191819225065</v>
      </c>
      <c r="C110" t="n">
        <v>282.8</v>
      </c>
      <c r="D110" t="n">
        <v>0.9622000000000001</v>
      </c>
    </row>
    <row r="111">
      <c r="A111" t="n">
        <v>684910624</v>
      </c>
      <c r="B111" t="n">
        <v>192527745627</v>
      </c>
      <c r="C111" t="n">
        <v>281.1</v>
      </c>
      <c r="D111" t="n">
        <v>0.9657</v>
      </c>
    </row>
    <row r="112">
      <c r="A112" t="n">
        <v>698343765</v>
      </c>
      <c r="B112" t="n">
        <v>192730415273</v>
      </c>
      <c r="C112" t="n">
        <v>276</v>
      </c>
      <c r="D112" t="n">
        <v>0.9668</v>
      </c>
    </row>
    <row r="113">
      <c r="A113" t="n">
        <v>764975627</v>
      </c>
      <c r="B113" t="n">
        <v>192778167539</v>
      </c>
      <c r="C113" t="n">
        <v>252</v>
      </c>
      <c r="D113" t="n">
        <v>0.967</v>
      </c>
    </row>
    <row r="114">
      <c r="A114" t="n">
        <v>766879363</v>
      </c>
      <c r="B114" t="n">
        <v>195667613062</v>
      </c>
      <c r="C114" t="n">
        <v>255.1</v>
      </c>
      <c r="D114" t="n">
        <v>0.9814000000000001</v>
      </c>
    </row>
    <row r="115">
      <c r="A115" t="n">
        <v>776383657</v>
      </c>
      <c r="B115" t="n">
        <v>197528763214</v>
      </c>
      <c r="C115" t="n">
        <v>254.4</v>
      </c>
      <c r="D115" t="n">
        <v>0.9908</v>
      </c>
    </row>
    <row r="116">
      <c r="A116" t="n">
        <v>783093115</v>
      </c>
      <c r="B116" t="n">
        <v>198237283776</v>
      </c>
      <c r="C116" t="n">
        <v>253.1</v>
      </c>
      <c r="D116" t="n">
        <v>0.9943</v>
      </c>
    </row>
    <row r="117">
      <c r="A117" t="n">
        <v>796263402</v>
      </c>
      <c r="B117" t="n">
        <v>199368471000</v>
      </c>
      <c r="C117" t="n">
        <v>250.4</v>
      </c>
      <c r="D117" t="n">
        <v>1</v>
      </c>
    </row>
    <row r="118">
      <c r="A118" t="n">
        <v>931963425</v>
      </c>
      <c r="B118" t="n">
        <v>200529440906</v>
      </c>
      <c r="C118" t="n">
        <v>215.2</v>
      </c>
      <c r="D118" t="n">
        <v>1.0058</v>
      </c>
    </row>
    <row r="119">
      <c r="A119" t="n">
        <v>938672883</v>
      </c>
      <c r="B119" t="n">
        <v>201237961468</v>
      </c>
      <c r="C119" t="n">
        <v>214.4</v>
      </c>
      <c r="D119" t="n">
        <v>1.0094</v>
      </c>
    </row>
    <row r="120">
      <c r="A120" t="n">
        <v>946005586</v>
      </c>
      <c r="B120" t="n">
        <v>202355312466</v>
      </c>
      <c r="C120" t="n">
        <v>213.9</v>
      </c>
      <c r="D120" t="n">
        <v>1.015</v>
      </c>
    </row>
    <row r="121">
      <c r="A121" t="n">
        <v>959438727</v>
      </c>
      <c r="B121" t="n">
        <v>202557982112</v>
      </c>
      <c r="C121" t="n">
        <v>211.1</v>
      </c>
      <c r="D121" t="n">
        <v>1.016</v>
      </c>
    </row>
    <row r="122">
      <c r="A122" t="n">
        <v>1101585354</v>
      </c>
      <c r="B122" t="n">
        <v>205355990158</v>
      </c>
      <c r="C122" t="n">
        <v>186.4</v>
      </c>
      <c r="D122" t="n">
        <v>1.03</v>
      </c>
    </row>
    <row r="123">
      <c r="A123" t="n">
        <v>1115018495</v>
      </c>
      <c r="B123" t="n">
        <v>205558659804</v>
      </c>
      <c r="C123" t="n">
        <v>184.4</v>
      </c>
      <c r="D123" t="n">
        <v>1.031</v>
      </c>
    </row>
    <row r="124">
      <c r="A124" t="n">
        <v>1122253479</v>
      </c>
      <c r="B124" t="n">
        <v>205874327501</v>
      </c>
      <c r="C124" t="n">
        <v>183.4</v>
      </c>
      <c r="D124" t="n">
        <v>1.0326</v>
      </c>
    </row>
    <row r="125">
      <c r="A125" t="n">
        <v>1131786994</v>
      </c>
      <c r="B125" t="n">
        <v>206006069156</v>
      </c>
      <c r="C125" t="n">
        <v>182</v>
      </c>
      <c r="D125" t="n">
        <v>1.0333</v>
      </c>
    </row>
    <row r="126">
      <c r="A126" t="n">
        <v>1246058321</v>
      </c>
      <c r="B126" t="n">
        <v>207714368611</v>
      </c>
      <c r="C126" t="n">
        <v>166.7</v>
      </c>
      <c r="D126" t="n">
        <v>1.0419</v>
      </c>
    </row>
    <row r="127">
      <c r="A127" t="n">
        <v>1255591836</v>
      </c>
      <c r="B127" t="n">
        <v>207846110266</v>
      </c>
      <c r="C127" t="n">
        <v>165.5</v>
      </c>
      <c r="D127" t="n">
        <v>1.0425</v>
      </c>
    </row>
    <row r="128">
      <c r="A128" t="n">
        <v>1390899429</v>
      </c>
      <c r="B128" t="n">
        <v>207952304090</v>
      </c>
      <c r="C128" t="n">
        <v>149.5</v>
      </c>
      <c r="D128" t="n">
        <v>1.043</v>
      </c>
    </row>
    <row r="129">
      <c r="A129" t="n">
        <v>1400432944</v>
      </c>
      <c r="B129" t="n">
        <v>208084045745</v>
      </c>
      <c r="C129" t="n">
        <v>148.6</v>
      </c>
      <c r="D129" t="n">
        <v>1.0437</v>
      </c>
    </row>
    <row r="130">
      <c r="A130" t="n">
        <v>1514704271</v>
      </c>
      <c r="B130" t="n">
        <v>209792345200</v>
      </c>
      <c r="C130" t="n">
        <v>138.5</v>
      </c>
      <c r="D130" t="n">
        <v>1.0523</v>
      </c>
    </row>
    <row r="131">
      <c r="A131" t="n">
        <v>1524237786</v>
      </c>
      <c r="B131" t="n">
        <v>209924086855</v>
      </c>
      <c r="C131" t="n">
        <v>137.7</v>
      </c>
      <c r="D131" t="n">
        <v>1.0529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2026-07-30T00:47:07Z</dcterms:created>
  <dcterms:modified xsi:type="dcterms:W3CDTF">2026-07-30T00:47:08Z</dcterms:modified>
</cp:coreProperties>
</file>